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ento_zošit"/>
  <bookViews>
    <workbookView xWindow="-120" yWindow="-120" windowWidth="29040" windowHeight="17640" tabRatio="936"/>
  </bookViews>
  <sheets>
    <sheet name="_CONSOLE_" sheetId="33" r:id="rId1"/>
    <sheet name="DASHBOARD" sheetId="34" r:id="rId2"/>
    <sheet name="CUSTOMER" sheetId="24" r:id="rId3"/>
    <sheet name="EXP04" sheetId="8" r:id="rId4"/>
    <sheet name="INPUT" sheetId="1" r:id="rId5"/>
    <sheet name="CR" sheetId="21" r:id="rId6"/>
    <sheet name="SPT" sheetId="26" r:id="rId7"/>
    <sheet name="IPP" sheetId="25" r:id="rId8"/>
    <sheet name="CLUSTERMATRIX" sheetId="14" r:id="rId9"/>
    <sheet name="LCS" sheetId="10" r:id="rId10"/>
    <sheet name="ALFA" sheetId="7" r:id="rId11"/>
    <sheet name="MATRIX" sheetId="12" r:id="rId12"/>
    <sheet name="SIMINPUT" sheetId="32" r:id="rId13"/>
    <sheet name="BINAR" sheetId="36" r:id="rId14"/>
    <sheet name="SIMOUTPUT" sheetId="30" r:id="rId15"/>
    <sheet name="ALFAMATRIX" sheetId="13" r:id="rId16"/>
    <sheet name="REDUCEALFA" sheetId="31" r:id="rId17"/>
    <sheet name="SOURCES" sheetId="16" r:id="rId18"/>
    <sheet name="ALFASOURCE" sheetId="17" r:id="rId19"/>
    <sheet name="BACKUP" sheetId="27" r:id="rId20"/>
    <sheet name="BACKUPALFA" sheetId="29" r:id="rId21"/>
    <sheet name="MASCHINE" sheetId="28" r:id="rId22"/>
    <sheet name="COMP" sheetId="18" r:id="rId23"/>
    <sheet name="TEST" sheetId="15" r:id="rId24"/>
    <sheet name="CHART" sheetId="2" r:id="rId25"/>
    <sheet name="ZHLUK" sheetId="5" r:id="rId26"/>
    <sheet name="INPUTYPE" sheetId="6" r:id="rId2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64" i="6" l="1"/>
  <c r="P163" i="6"/>
  <c r="P162" i="6"/>
  <c r="P161" i="6"/>
  <c r="P160" i="6"/>
  <c r="P159" i="6"/>
  <c r="P158" i="6"/>
  <c r="P157" i="6"/>
  <c r="P156" i="6"/>
  <c r="P155" i="6"/>
  <c r="L21" i="2" l="1"/>
  <c r="L22" i="2"/>
  <c r="L23" i="2"/>
  <c r="L24" i="2"/>
  <c r="L25" i="2"/>
  <c r="L26" i="2"/>
  <c r="L27" i="2"/>
  <c r="L28" i="2"/>
  <c r="L29" i="2"/>
  <c r="L20" i="2"/>
  <c r="J21" i="2"/>
  <c r="J22" i="2"/>
  <c r="J23" i="2"/>
  <c r="J24" i="2"/>
  <c r="J25" i="2"/>
  <c r="J26" i="2"/>
  <c r="J27" i="2"/>
  <c r="J28" i="2"/>
  <c r="J29" i="2"/>
  <c r="J20" i="2"/>
  <c r="AC124" i="6" l="1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AD123" i="6"/>
  <c r="AD122" i="6"/>
  <c r="AD121" i="6"/>
  <c r="AD120" i="6"/>
  <c r="AD119" i="6"/>
  <c r="AD118" i="6"/>
  <c r="AD117" i="6"/>
  <c r="AD116" i="6"/>
  <c r="AD115" i="6"/>
  <c r="AD114" i="6"/>
  <c r="K108" i="6"/>
  <c r="K107" i="6"/>
  <c r="J107" i="6"/>
  <c r="K106" i="6"/>
  <c r="J106" i="6"/>
  <c r="I106" i="6"/>
  <c r="K105" i="6"/>
  <c r="J105" i="6"/>
  <c r="I105" i="6"/>
  <c r="H105" i="6"/>
  <c r="K104" i="6"/>
  <c r="J104" i="6"/>
  <c r="I104" i="6"/>
  <c r="H104" i="6"/>
  <c r="G104" i="6"/>
  <c r="K103" i="6"/>
  <c r="J103" i="6"/>
  <c r="I103" i="6"/>
  <c r="H103" i="6"/>
  <c r="G103" i="6"/>
  <c r="F103" i="6"/>
  <c r="K102" i="6"/>
  <c r="J102" i="6"/>
  <c r="I102" i="6"/>
  <c r="H102" i="6"/>
  <c r="G102" i="6"/>
  <c r="F102" i="6"/>
  <c r="E102" i="6"/>
  <c r="K101" i="6"/>
  <c r="J101" i="6"/>
  <c r="I101" i="6"/>
  <c r="H101" i="6"/>
  <c r="G101" i="6"/>
  <c r="F101" i="6"/>
  <c r="E101" i="6"/>
  <c r="D101" i="6"/>
  <c r="K100" i="6"/>
  <c r="J100" i="6"/>
  <c r="I100" i="6"/>
  <c r="H100" i="6"/>
  <c r="G100" i="6"/>
  <c r="F100" i="6"/>
  <c r="E100" i="6"/>
  <c r="D100" i="6"/>
  <c r="C100" i="6"/>
  <c r="B76" i="6"/>
  <c r="K75" i="6"/>
  <c r="K74" i="6"/>
  <c r="J74" i="6"/>
  <c r="K73" i="6"/>
  <c r="J73" i="6"/>
  <c r="I73" i="6"/>
  <c r="K72" i="6"/>
  <c r="J72" i="6"/>
  <c r="I72" i="6"/>
  <c r="H72" i="6"/>
  <c r="K71" i="6"/>
  <c r="J71" i="6"/>
  <c r="I71" i="6"/>
  <c r="H71" i="6"/>
  <c r="G71" i="6"/>
  <c r="K70" i="6"/>
  <c r="J70" i="6"/>
  <c r="I70" i="6"/>
  <c r="H70" i="6"/>
  <c r="G70" i="6"/>
  <c r="F70" i="6"/>
  <c r="K69" i="6"/>
  <c r="J69" i="6"/>
  <c r="I69" i="6"/>
  <c r="H69" i="6"/>
  <c r="G69" i="6"/>
  <c r="F69" i="6"/>
  <c r="E69" i="6"/>
  <c r="K68" i="6"/>
  <c r="J68" i="6"/>
  <c r="I68" i="6"/>
  <c r="H68" i="6"/>
  <c r="G68" i="6"/>
  <c r="F68" i="6"/>
  <c r="E68" i="6"/>
  <c r="D68" i="6"/>
  <c r="K67" i="6"/>
  <c r="J67" i="6"/>
  <c r="I67" i="6"/>
  <c r="H67" i="6"/>
  <c r="G67" i="6"/>
  <c r="F67" i="6"/>
  <c r="E67" i="6"/>
  <c r="D67" i="6"/>
  <c r="C67" i="6"/>
  <c r="K42" i="6"/>
  <c r="K41" i="6"/>
  <c r="J41" i="6"/>
  <c r="K40" i="6"/>
  <c r="J40" i="6"/>
  <c r="I40" i="6"/>
  <c r="K39" i="6"/>
  <c r="J39" i="6"/>
  <c r="I39" i="6"/>
  <c r="H39" i="6"/>
  <c r="K38" i="6"/>
  <c r="J38" i="6"/>
  <c r="I38" i="6"/>
  <c r="H38" i="6"/>
  <c r="G38" i="6"/>
  <c r="K37" i="6"/>
  <c r="J37" i="6"/>
  <c r="I37" i="6"/>
  <c r="H37" i="6"/>
  <c r="G37" i="6"/>
  <c r="F37" i="6"/>
  <c r="K36" i="6"/>
  <c r="J36" i="6"/>
  <c r="I36" i="6"/>
  <c r="H36" i="6"/>
  <c r="G36" i="6"/>
  <c r="F36" i="6"/>
  <c r="E36" i="6"/>
  <c r="K35" i="6"/>
  <c r="J35" i="6"/>
  <c r="I35" i="6"/>
  <c r="H35" i="6"/>
  <c r="G35" i="6"/>
  <c r="F35" i="6"/>
  <c r="E35" i="6"/>
  <c r="D35" i="6"/>
  <c r="K34" i="6"/>
  <c r="J34" i="6"/>
  <c r="I34" i="6"/>
  <c r="H34" i="6"/>
  <c r="G34" i="6"/>
  <c r="F34" i="6"/>
  <c r="E34" i="6"/>
  <c r="D34" i="6"/>
  <c r="C34" i="6"/>
  <c r="K10" i="6"/>
  <c r="K9" i="6"/>
  <c r="J9" i="6"/>
  <c r="K8" i="6"/>
  <c r="J8" i="6"/>
  <c r="I8" i="6"/>
  <c r="K7" i="6"/>
  <c r="J7" i="6"/>
  <c r="I7" i="6"/>
  <c r="H7" i="6"/>
  <c r="K6" i="6"/>
  <c r="J6" i="6"/>
  <c r="I6" i="6"/>
  <c r="H6" i="6"/>
  <c r="G6" i="6"/>
  <c r="K5" i="6"/>
  <c r="J5" i="6"/>
  <c r="I5" i="6"/>
  <c r="H5" i="6"/>
  <c r="G5" i="6"/>
  <c r="F5" i="6"/>
  <c r="K4" i="6"/>
  <c r="J4" i="6"/>
  <c r="I4" i="6"/>
  <c r="H4" i="6"/>
  <c r="G4" i="6"/>
  <c r="F4" i="6"/>
  <c r="E4" i="6"/>
  <c r="K3" i="6"/>
  <c r="J3" i="6"/>
  <c r="I3" i="6"/>
  <c r="H3" i="6"/>
  <c r="G3" i="6"/>
  <c r="F3" i="6"/>
  <c r="E3" i="6"/>
  <c r="D3" i="6"/>
  <c r="K2" i="6"/>
  <c r="J2" i="6"/>
  <c r="I2" i="6"/>
  <c r="H2" i="6"/>
  <c r="G2" i="6"/>
  <c r="F2" i="6"/>
  <c r="E2" i="6"/>
  <c r="D2" i="6"/>
  <c r="C2" i="6"/>
  <c r="B13" i="6" l="1"/>
  <c r="C12" i="2"/>
</calcChain>
</file>

<file path=xl/comments1.xml><?xml version="1.0" encoding="utf-8"?>
<comments xmlns="http://schemas.openxmlformats.org/spreadsheetml/2006/main">
  <authors>
    <author>Autor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  <charset val="238"/>
          </rPr>
          <t>Autor:</t>
        </r>
        <r>
          <rPr>
            <sz val="9"/>
            <color indexed="81"/>
            <rFont val="Segoe UI"/>
            <family val="2"/>
            <charset val="238"/>
          </rPr>
          <t xml:space="preserve">
Vascia hodnota delta =&gt; vyuzitie teplej zalohy 
vhodne roypetie DELTA od 0 po 5 min</t>
        </r>
      </text>
    </comment>
  </commentList>
</comments>
</file>

<file path=xl/sharedStrings.xml><?xml version="1.0" encoding="utf-8"?>
<sst xmlns="http://schemas.openxmlformats.org/spreadsheetml/2006/main" count="1149" uniqueCount="349">
  <si>
    <t>A</t>
  </si>
  <si>
    <t>B</t>
  </si>
  <si>
    <t>C</t>
  </si>
  <si>
    <t>D</t>
  </si>
  <si>
    <t>F</t>
  </si>
  <si>
    <t>E</t>
  </si>
  <si>
    <t>N</t>
  </si>
  <si>
    <t>ti</t>
  </si>
  <si>
    <t>Lci</t>
  </si>
  <si>
    <t>q(kn)</t>
  </si>
  <si>
    <t>Ret(kn)</t>
  </si>
  <si>
    <t>Crt(kn)</t>
  </si>
  <si>
    <t>Zt(kn)</t>
  </si>
  <si>
    <t>G</t>
  </si>
  <si>
    <t>H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</si>
  <si>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</si>
  <si>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</si>
  <si>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</si>
  <si>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</si>
  <si>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</si>
  <si>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</si>
  <si>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</si>
  <si>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</si>
  <si>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</si>
  <si>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</si>
  <si>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ABCDEFGHIJ</t>
  </si>
  <si>
    <t>BDEFIJH</t>
  </si>
  <si>
    <t>AMCDEFI</t>
  </si>
  <si>
    <t>BCDEFNMIJ</t>
  </si>
  <si>
    <t>CDENMIJO</t>
  </si>
  <si>
    <t>ABBDFMIJ</t>
  </si>
  <si>
    <t>JNFGH</t>
  </si>
  <si>
    <t>NPCDABCNF</t>
  </si>
  <si>
    <t>CDEFG</t>
  </si>
  <si>
    <t>GHDAFMNC</t>
  </si>
  <si>
    <t>MAX</t>
  </si>
  <si>
    <t>Linkage Section</t>
  </si>
  <si>
    <t>Number</t>
  </si>
  <si>
    <t>Distance</t>
  </si>
  <si>
    <t>Rows</t>
  </si>
  <si>
    <t>Link</t>
  </si>
  <si>
    <t>Clusters</t>
  </si>
  <si>
    <t>Value</t>
  </si>
  <si>
    <t>Bar</t>
  </si>
  <si>
    <t>Linked</t>
  </si>
  <si>
    <t>|IIIIIIIIIIIIIIIIIIIIIIIIIIIIII</t>
  </si>
  <si>
    <t>1,2,4,5,6,3,9,8,10,7</t>
  </si>
  <si>
    <t>1,2,4,5,6,3,9,8,10</t>
  </si>
  <si>
    <t>|IIIIIIIIIIIIIIIIIIIIIIIIIIIII</t>
  </si>
  <si>
    <t>8,10</t>
  </si>
  <si>
    <t>|IIIIIIIIIIIIIIIII</t>
  </si>
  <si>
    <t>1,2,4,5,6,3,9</t>
  </si>
  <si>
    <t>|IIIIIIIIIIIIIIII</t>
  </si>
  <si>
    <t>1,2,4,5,6,3</t>
  </si>
  <si>
    <t>1,2,4,5,6</t>
  </si>
  <si>
    <t>|IIIIIIIIIIIIIII</t>
  </si>
  <si>
    <t>1,2,4,5</t>
  </si>
  <si>
    <t>|IIIIIIIIIIIIII</t>
  </si>
  <si>
    <t>2,4,5</t>
  </si>
  <si>
    <t>|IIIIIIIIIIIII</t>
  </si>
  <si>
    <t>4,5</t>
  </si>
  <si>
    <t>Cophenetic Correlation</t>
  </si>
  <si>
    <t>Delta(0.5)</t>
  </si>
  <si>
    <t>Delta(1.0)</t>
  </si>
  <si>
    <t>NANFOGOP</t>
  </si>
  <si>
    <t>FJGWKLFJM</t>
  </si>
  <si>
    <t>FNGKGOPHJ</t>
  </si>
  <si>
    <t>NGGJKTGOR</t>
  </si>
  <si>
    <t>JTONNNKT</t>
  </si>
  <si>
    <t>ABCDEFKG</t>
  </si>
  <si>
    <t>ABCDKGT</t>
  </si>
  <si>
    <t>AKDNTOG</t>
  </si>
  <si>
    <t>KFHTOPWEN</t>
  </si>
  <si>
    <t>ABNVOENRT</t>
  </si>
  <si>
    <t>1,8,2,3,4,6,7,5,9,10</t>
  </si>
  <si>
    <t>1,8,2,3,4,6,7</t>
  </si>
  <si>
    <t>5,9,10</t>
  </si>
  <si>
    <t>5,9</t>
  </si>
  <si>
    <t>|IIIIIIIIIIIIIIIIIIIIIIIIIIII</t>
  </si>
  <si>
    <t>1,8,2,3,4</t>
  </si>
  <si>
    <t>|IIIIIIIIIIIIIIIIIIIIIIIII</t>
  </si>
  <si>
    <t>1,8,2</t>
  </si>
  <si>
    <t>1,8</t>
  </si>
  <si>
    <t>|IIIIIIIIIIIIIIIIIIIII</t>
  </si>
  <si>
    <t>3,4</t>
  </si>
  <si>
    <t>|IIIIIIIIIII</t>
  </si>
  <si>
    <t>6,7</t>
  </si>
  <si>
    <t>ABCDEFGHT</t>
  </si>
  <si>
    <t>ADFGT</t>
  </si>
  <si>
    <t>ANGTHT</t>
  </si>
  <si>
    <t>CDFTGHJ</t>
  </si>
  <si>
    <t>NOFGHTJ</t>
  </si>
  <si>
    <t>AFDTOGJ</t>
  </si>
  <si>
    <t>BCDEFT</t>
  </si>
  <si>
    <t>JKTNHOPT</t>
  </si>
  <si>
    <t>ABDOFTH</t>
  </si>
  <si>
    <t>ABNDTMUJ</t>
  </si>
  <si>
    <t>SKONTROLOVAŤ NESEDÍ</t>
  </si>
  <si>
    <t>1,7,3,9,4,2,6,10,5,8</t>
  </si>
  <si>
    <t>|IIIIIIIIIIIIIIIIIIIIIII</t>
  </si>
  <si>
    <t>1,7,3,9,4,2,6,10,5</t>
  </si>
  <si>
    <t>|IIIIIIIIIIIIIIIIIIIIII</t>
  </si>
  <si>
    <t>1,7,3,9,4,2,6,10</t>
  </si>
  <si>
    <t>|IIIIIIIIIIIIIIIIIIII</t>
  </si>
  <si>
    <t>6,10</t>
  </si>
  <si>
    <t>1,7,3,9,4,2</t>
  </si>
  <si>
    <t>1,7,3,9,4</t>
  </si>
  <si>
    <t>3,9,4</t>
  </si>
  <si>
    <t>3,9</t>
  </si>
  <si>
    <t>1,7</t>
  </si>
  <si>
    <t>EXPERIMENT 4</t>
  </si>
  <si>
    <t xml:space="preserve">Podobnosť dvojice </t>
  </si>
  <si>
    <t>dvojica</t>
  </si>
  <si>
    <t>prvky</t>
  </si>
  <si>
    <t>početnosť opakovaní</t>
  </si>
  <si>
    <t>ABCDEFG</t>
  </si>
  <si>
    <t>K1-K8</t>
  </si>
  <si>
    <t>k1</t>
  </si>
  <si>
    <t>ACDEFGHJ</t>
  </si>
  <si>
    <t>K2-K8</t>
  </si>
  <si>
    <t>k8</t>
  </si>
  <si>
    <t>NJGHTJHIK</t>
  </si>
  <si>
    <t>K2-K7</t>
  </si>
  <si>
    <t>k2</t>
  </si>
  <si>
    <t>ABCDFGR</t>
  </si>
  <si>
    <t>K1-K4</t>
  </si>
  <si>
    <t>k7</t>
  </si>
  <si>
    <t>FGDBCDE</t>
  </si>
  <si>
    <t>K7-K8</t>
  </si>
  <si>
    <t>k4</t>
  </si>
  <si>
    <t>KGJFTLNEF</t>
  </si>
  <si>
    <t>K1-K2</t>
  </si>
  <si>
    <t>k10</t>
  </si>
  <si>
    <t>CDEFGH</t>
  </si>
  <si>
    <t>K4-K8</t>
  </si>
  <si>
    <t>ABCDEFGH</t>
  </si>
  <si>
    <t>K2-K4</t>
  </si>
  <si>
    <t>DCBFGA</t>
  </si>
  <si>
    <t>K4-K10</t>
  </si>
  <si>
    <t>CDGRF</t>
  </si>
  <si>
    <t>J</t>
  </si>
  <si>
    <t>T</t>
  </si>
  <si>
    <t>I</t>
  </si>
  <si>
    <t>K</t>
  </si>
  <si>
    <t>R</t>
  </si>
  <si>
    <t>L</t>
  </si>
  <si>
    <t>1,8,2,7,4,10,5,9,3,6</t>
  </si>
  <si>
    <t>|IIIIIIIIIIIIIIIIIIIIIIIIIII</t>
  </si>
  <si>
    <t>3,6</t>
  </si>
  <si>
    <t>|IIIIIIIIIIIIIIIIIIIIIIII</t>
  </si>
  <si>
    <t>1,8,2,7,4,10,5,9</t>
  </si>
  <si>
    <t>1,8,2,7,4,10,5</t>
  </si>
  <si>
    <t>1,8,2,7,4,10</t>
  </si>
  <si>
    <t>|IIIIIIIII</t>
  </si>
  <si>
    <t>1,8,2,7,4</t>
  </si>
  <si>
    <t>|IIIIIII</t>
  </si>
  <si>
    <t>1,8,2,7</t>
  </si>
  <si>
    <t>|IIIIII</t>
  </si>
  <si>
    <t>2,7</t>
  </si>
  <si>
    <t>|IIIII</t>
  </si>
  <si>
    <t>t</t>
  </si>
  <si>
    <t>n</t>
  </si>
  <si>
    <t>tiA</t>
  </si>
  <si>
    <t>tiB</t>
  </si>
  <si>
    <t>LciA</t>
  </si>
  <si>
    <t>LciB</t>
  </si>
  <si>
    <t>LCS down/up</t>
  </si>
  <si>
    <t>LCS up/down</t>
  </si>
  <si>
    <t>LciALFA</t>
  </si>
  <si>
    <t>ALFA</t>
  </si>
  <si>
    <t>tiALFA</t>
  </si>
  <si>
    <t>OPA</t>
  </si>
  <si>
    <t>OPB</t>
  </si>
  <si>
    <t>qi</t>
  </si>
  <si>
    <t>OPALFA</t>
  </si>
  <si>
    <t>Podobnosť</t>
  </si>
  <si>
    <t>Počet zhodných prvkov</t>
  </si>
  <si>
    <t>ni</t>
  </si>
  <si>
    <t>LCS</t>
  </si>
  <si>
    <t>SPT</t>
  </si>
  <si>
    <t>0.1-0.9</t>
  </si>
  <si>
    <t>0.5-0.5</t>
  </si>
  <si>
    <t>0.9-0.1</t>
  </si>
  <si>
    <t>M</t>
  </si>
  <si>
    <t>O</t>
  </si>
  <si>
    <t>P</t>
  </si>
  <si>
    <t>Q</t>
  </si>
  <si>
    <t>S</t>
  </si>
  <si>
    <t>U</t>
  </si>
  <si>
    <t>V</t>
  </si>
  <si>
    <t>W</t>
  </si>
  <si>
    <t>X</t>
  </si>
  <si>
    <t>Y</t>
  </si>
  <si>
    <t>Z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</si>
  <si>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</si>
  <si>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</si>
  <si>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</si>
  <si>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</si>
  <si>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</si>
  <si>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</si>
  <si>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</si>
  <si>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</si>
  <si>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</si>
  <si>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</si>
  <si>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</si>
  <si>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</si>
  <si>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</si>
  <si>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</si>
  <si>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</si>
  <si>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</si>
  <si>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</si>
  <si>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</si>
  <si>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</si>
  <si>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</si>
  <si>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</si>
  <si>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</si>
  <si>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</si>
  <si>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</si>
  <si>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</si>
  <si>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</si>
  <si>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</si>
  <si>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</si>
  <si>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</si>
  <si>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</si>
  <si>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</si>
  <si>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</si>
  <si>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</si>
  <si>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</si>
  <si>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</si>
  <si>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</si>
  <si>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</si>
  <si>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</si>
  <si>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</si>
  <si>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</si>
  <si>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</si>
  <si>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</si>
  <si>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</si>
  <si>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</si>
  <si>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</si>
  <si>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</si>
  <si>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</si>
  <si>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</si>
  <si>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</si>
  <si>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</si>
  <si>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qalfa</t>
  </si>
  <si>
    <t>tkn</t>
  </si>
  <si>
    <t>q (1)</t>
  </si>
  <si>
    <t>q (2)</t>
  </si>
  <si>
    <t>q (3)</t>
  </si>
  <si>
    <t>q (4)</t>
  </si>
  <si>
    <t>q (5)</t>
  </si>
  <si>
    <t>q (6)</t>
  </si>
  <si>
    <t>q (7)</t>
  </si>
  <si>
    <t>q (8)</t>
  </si>
  <si>
    <t>q (9)</t>
  </si>
  <si>
    <t>Mintkn</t>
  </si>
  <si>
    <t>KX</t>
  </si>
  <si>
    <t>K1K8</t>
  </si>
  <si>
    <t>Ztkn</t>
  </si>
  <si>
    <t>PRODUKTY</t>
  </si>
  <si>
    <t>Počet zdrojov v systéme</t>
  </si>
  <si>
    <t>NAZOV</t>
  </si>
  <si>
    <t>Operácia 1</t>
  </si>
  <si>
    <t>Operácia 2</t>
  </si>
  <si>
    <t>Operácia 3</t>
  </si>
  <si>
    <t>Operácia 4</t>
  </si>
  <si>
    <t>Operácia 5</t>
  </si>
  <si>
    <t>Operácia 6</t>
  </si>
  <si>
    <t>Operácia 7</t>
  </si>
  <si>
    <t>Operácia 8</t>
  </si>
  <si>
    <t>Operácia 9</t>
  </si>
  <si>
    <t>Operácia 10</t>
  </si>
  <si>
    <t>Operácia 11</t>
  </si>
  <si>
    <t>Operácia 12</t>
  </si>
  <si>
    <t>Operácia 13</t>
  </si>
  <si>
    <t>Operácia 14</t>
  </si>
  <si>
    <t>Operácia 15</t>
  </si>
  <si>
    <t>Operácia 16</t>
  </si>
  <si>
    <t>Operácia 17</t>
  </si>
  <si>
    <t>Operácia 18</t>
  </si>
  <si>
    <t>Operácia 19</t>
  </si>
  <si>
    <t>Operácia 20</t>
  </si>
  <si>
    <t>Operácie</t>
  </si>
  <si>
    <t>poradie</t>
  </si>
  <si>
    <t>Poradie</t>
  </si>
  <si>
    <t>nove poradie</t>
  </si>
  <si>
    <t>PORADIE SPT</t>
  </si>
  <si>
    <t>PORADIE CLUSTER</t>
  </si>
  <si>
    <t>OMEGA</t>
  </si>
  <si>
    <t>mi</t>
  </si>
  <si>
    <t>fi</t>
  </si>
  <si>
    <t>SumaU</t>
  </si>
  <si>
    <t>SumaD</t>
  </si>
  <si>
    <t>PocPoruch</t>
  </si>
  <si>
    <t>labmda</t>
  </si>
  <si>
    <t>OP25</t>
  </si>
  <si>
    <t>OP26</t>
  </si>
  <si>
    <t>OP27</t>
  </si>
  <si>
    <t>OP28</t>
  </si>
  <si>
    <t>OP29</t>
  </si>
  <si>
    <t>OP30</t>
  </si>
  <si>
    <t>Operacia 1</t>
  </si>
  <si>
    <t>Operacia 2</t>
  </si>
  <si>
    <t>Operacia 3</t>
  </si>
  <si>
    <t>Operacia 4</t>
  </si>
  <si>
    <t>Operacia 5</t>
  </si>
  <si>
    <t>Operacia 6</t>
  </si>
  <si>
    <t>Operacia 7</t>
  </si>
  <si>
    <t>Operacia 8</t>
  </si>
  <si>
    <t>lambda</t>
  </si>
  <si>
    <t>Koeficient vyuzitia i</t>
  </si>
  <si>
    <t>Koeficient vyuzitia /studena zaloha</t>
  </si>
  <si>
    <t>Koeficient vyuzitia /tepla zaloha</t>
  </si>
  <si>
    <t>Koeficient vyuzitia studena zaloha + delta</t>
  </si>
  <si>
    <t>qi + zaloha</t>
  </si>
  <si>
    <t xml:space="preserve">Typ zalohy </t>
  </si>
  <si>
    <t>RLINE</t>
  </si>
  <si>
    <t>N_RLINE</t>
  </si>
  <si>
    <t>N_SIMULACIA</t>
  </si>
  <si>
    <t>KOEFICIENT</t>
  </si>
  <si>
    <t>RESULT</t>
  </si>
  <si>
    <t>Pprir</t>
  </si>
  <si>
    <t>qa</t>
  </si>
  <si>
    <t>Zq</t>
  </si>
  <si>
    <t>sim time</t>
  </si>
  <si>
    <t>Kx</t>
  </si>
  <si>
    <t>VS1</t>
  </si>
  <si>
    <t>VS2</t>
  </si>
  <si>
    <t>VS3</t>
  </si>
  <si>
    <t>VS4</t>
  </si>
  <si>
    <t>VS5</t>
  </si>
  <si>
    <t>VS6</t>
  </si>
  <si>
    <t>VS7</t>
  </si>
  <si>
    <t>VS8</t>
  </si>
  <si>
    <t>VS9</t>
  </si>
  <si>
    <t>VS10</t>
  </si>
  <si>
    <t>VS11</t>
  </si>
  <si>
    <t>VS12</t>
  </si>
  <si>
    <t>VS13</t>
  </si>
  <si>
    <t>VS14</t>
  </si>
  <si>
    <t>VS15</t>
  </si>
  <si>
    <t>VS16</t>
  </si>
  <si>
    <t>VS17</t>
  </si>
  <si>
    <t>VS18</t>
  </si>
  <si>
    <t>VS19</t>
  </si>
  <si>
    <t>VS20</t>
  </si>
  <si>
    <t>K7K1K8</t>
  </si>
  <si>
    <t>K7K8</t>
  </si>
  <si>
    <t>SZ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</si>
</sst>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indexed="81"/>
      <name val="Segoe UI"/>
      <family val="2"/>
      <charset val="238"/>
    </font>
    <font>
      <b/>
      <sz val="9"/>
      <color indexed="81"/>
      <name val="Segoe UI"/>
      <family val="2"/>
      <charset val="238"/>
    </font>
  </fonts>
  <fills count="2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C454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/>
    </xf>
    <xf numFmtId="2" fontId="0" fillId="0" borderId="0" xfId="0" applyNumberFormat="1" applyFill="1" applyBorder="1" applyAlignment="1">
      <alignment horizontal="center" vertical="center"/>
    </xf>
    <xf numFmtId="0" fontId="4" fillId="3" borderId="0" xfId="0" applyFont="1" applyFill="1"/>
    <xf numFmtId="0" fontId="0" fillId="2" borderId="0" xfId="0" applyFill="1"/>
    <xf numFmtId="0" fontId="0" fillId="0" borderId="0" xfId="0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4" fontId="0" fillId="11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/>
    <xf numFmtId="0" fontId="0" fillId="1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0" xfId="0" applyFill="1"/>
    <xf numFmtId="0" fontId="4" fillId="0" borderId="1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5" borderId="1" xfId="0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16" borderId="4" xfId="0" applyFill="1" applyBorder="1"/>
    <xf numFmtId="0" fontId="0" fillId="17" borderId="4" xfId="0" applyFill="1" applyBorder="1"/>
    <xf numFmtId="0" fontId="4" fillId="0" borderId="0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0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18" borderId="13" xfId="0" applyFill="1" applyBorder="1" applyAlignment="1">
      <alignment horizontal="center" vertical="center"/>
    </xf>
    <xf numFmtId="0" fontId="0" fillId="18" borderId="14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64" fontId="0" fillId="0" borderId="0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4" fillId="2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textRotation="90" wrapText="1"/>
    </xf>
    <xf numFmtId="0" fontId="0" fillId="0" borderId="1" xfId="0" applyFill="1" applyBorder="1" applyAlignment="1">
      <alignment horizontal="left"/>
    </xf>
    <xf numFmtId="0" fontId="0" fillId="0" borderId="1" xfId="0" applyFill="1" applyBorder="1" applyAlignment="1">
      <alignment horizontal="center"/>
    </xf>
  </cellXfs>
  <cellStyles count="1">
    <cellStyle name="Normálna" xfId="0" builtinId="0"/>
  </cellStyles>
  <dxfs count="0"/>
  <tableStyles count="0" defaultTableStyle="TableStyleMedium2" defaultPivotStyle="PivotStyleLight16"/>
  <colors>
    <mruColors>
      <color rgb="FFFF4A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CR!$A$2:$A$11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CR!$B$2:$B$11</c:f>
              <c:numCache>
                <c:formatCode>General</c:formatCode>
                <c:ptCount val="10"/>
                <c:pt idx="0">
                  <c:v>930</c:v>
                </c:pt>
                <c:pt idx="1">
                  <c:v>383</c:v>
                </c:pt>
                <c:pt idx="2">
                  <c:v>222</c:v>
                </c:pt>
                <c:pt idx="3">
                  <c:v>366</c:v>
                </c:pt>
                <c:pt idx="4">
                  <c:v>337</c:v>
                </c:pt>
                <c:pt idx="5">
                  <c:v>3666</c:v>
                </c:pt>
                <c:pt idx="6">
                  <c:v>2080</c:v>
                </c:pt>
                <c:pt idx="7">
                  <c:v>666</c:v>
                </c:pt>
                <c:pt idx="8">
                  <c:v>4200</c:v>
                </c:pt>
                <c:pt idx="9">
                  <c:v>1291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F-43F1-A8BE-B1B71365FBD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CR!$A$2:$A$11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CR!$C$2:$C$11</c:f>
              <c:numCache>
                <c:formatCode>General</c:formatCode>
                <c:ptCount val="10"/>
                <c:pt idx="0">
                  <c:v>270</c:v>
                </c:pt>
                <c:pt idx="1">
                  <c:v>417</c:v>
                </c:pt>
                <c:pt idx="2">
                  <c:v>2778</c:v>
                </c:pt>
                <c:pt idx="3">
                  <c:v>534</c:v>
                </c:pt>
                <c:pt idx="4">
                  <c:v>8</c:v>
                </c:pt>
                <c:pt idx="5">
                  <c:v>1334</c:v>
                </c:pt>
                <c:pt idx="6">
                  <c:v>420</c:v>
                </c:pt>
                <c:pt idx="7">
                  <c:v>334</c:v>
                </c:pt>
                <c:pt idx="8">
                  <c:v>800</c:v>
                </c:pt>
                <c:pt idx="9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9F-43F1-A8BE-B1B71365FBD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numRef>
              <c:f>CR!$A$2:$A$11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CR!$D$2:$D$11</c:f>
              <c:numCache>
                <c:formatCode>General</c:formatCode>
                <c:ptCount val="10"/>
                <c:pt idx="0">
                  <c:v>1200</c:v>
                </c:pt>
                <c:pt idx="1">
                  <c:v>800</c:v>
                </c:pt>
                <c:pt idx="2">
                  <c:v>3000</c:v>
                </c:pt>
                <c:pt idx="3">
                  <c:v>900</c:v>
                </c:pt>
                <c:pt idx="4">
                  <c:v>345</c:v>
                </c:pt>
                <c:pt idx="5">
                  <c:v>5000</c:v>
                </c:pt>
                <c:pt idx="6">
                  <c:v>2500</c:v>
                </c:pt>
                <c:pt idx="7">
                  <c:v>1000</c:v>
                </c:pt>
                <c:pt idx="8">
                  <c:v>5000</c:v>
                </c:pt>
                <c:pt idx="9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9F-43F1-A8BE-B1B71365F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6811888"/>
        <c:axId val="554788304"/>
      </c:barChart>
      <c:catAx>
        <c:axId val="3568118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554788304"/>
        <c:crosses val="autoZero"/>
        <c:auto val="1"/>
        <c:lblAlgn val="ctr"/>
        <c:lblOffset val="100"/>
        <c:noMultiLvlLbl val="0"/>
      </c:catAx>
      <c:valAx>
        <c:axId val="554788304"/>
        <c:scaling>
          <c:orientation val="minMax"/>
          <c:max val="1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56811888"/>
        <c:crosses val="max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CHART!$B$2:$B$11</c:f>
              <c:numCache>
                <c:formatCode>General</c:formatCode>
                <c:ptCount val="10"/>
                <c:pt idx="0">
                  <c:v>750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332</c:v>
                </c:pt>
                <c:pt idx="5">
                  <c:v>2333</c:v>
                </c:pt>
                <c:pt idx="6">
                  <c:v>1814</c:v>
                </c:pt>
                <c:pt idx="7">
                  <c:v>500</c:v>
                </c:pt>
                <c:pt idx="8">
                  <c:v>3628</c:v>
                </c:pt>
                <c:pt idx="9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9-427A-96B1-C8E86AFD86C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CHART!$A$2:$A$12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CHART!$C$2:$C$11</c:f>
              <c:numCache>
                <c:formatCode>General</c:formatCode>
                <c:ptCount val="10"/>
                <c:pt idx="0">
                  <c:v>450</c:v>
                </c:pt>
                <c:pt idx="1">
                  <c:v>700</c:v>
                </c:pt>
                <c:pt idx="2">
                  <c:v>3000</c:v>
                </c:pt>
                <c:pt idx="3">
                  <c:v>900</c:v>
                </c:pt>
                <c:pt idx="4">
                  <c:v>13</c:v>
                </c:pt>
                <c:pt idx="5">
                  <c:v>2667</c:v>
                </c:pt>
                <c:pt idx="6">
                  <c:v>686</c:v>
                </c:pt>
                <c:pt idx="7">
                  <c:v>500</c:v>
                </c:pt>
                <c:pt idx="8">
                  <c:v>1372</c:v>
                </c:pt>
                <c:pt idx="9">
                  <c:v>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09-427A-96B1-C8E86AFD86C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numRef>
              <c:f>CHART!$A$2:$A$12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CHART!$D$2:$D$11</c:f>
              <c:numCache>
                <c:formatCode>General</c:formatCode>
                <c:ptCount val="10"/>
                <c:pt idx="0">
                  <c:v>1200</c:v>
                </c:pt>
                <c:pt idx="1">
                  <c:v>800</c:v>
                </c:pt>
                <c:pt idx="2">
                  <c:v>3000</c:v>
                </c:pt>
                <c:pt idx="3">
                  <c:v>900</c:v>
                </c:pt>
                <c:pt idx="4">
                  <c:v>345</c:v>
                </c:pt>
                <c:pt idx="5">
                  <c:v>5000</c:v>
                </c:pt>
                <c:pt idx="6">
                  <c:v>2500</c:v>
                </c:pt>
                <c:pt idx="7">
                  <c:v>1000</c:v>
                </c:pt>
                <c:pt idx="8">
                  <c:v>5000</c:v>
                </c:pt>
                <c:pt idx="9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09-427A-96B1-C8E86AFD8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6811888"/>
        <c:axId val="554788304"/>
      </c:barChart>
      <c:catAx>
        <c:axId val="3568118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554788304"/>
        <c:crosses val="autoZero"/>
        <c:auto val="1"/>
        <c:lblAlgn val="ctr"/>
        <c:lblOffset val="100"/>
        <c:noMultiLvlLbl val="0"/>
      </c:catAx>
      <c:valAx>
        <c:axId val="554788304"/>
        <c:scaling>
          <c:orientation val="minMax"/>
          <c:max val="1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56811888"/>
        <c:crosses val="max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4" Type="http://schemas.openxmlformats.org/officeDocument/2006/relationships/image" Target="../media/image23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5.emf"/><Relationship Id="rId5" Type="http://schemas.openxmlformats.org/officeDocument/2006/relationships/image" Target="../media/image12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4" Type="http://schemas.openxmlformats.org/officeDocument/2006/relationships/image" Target="../media/image11.emf"/><Relationship Id="rId9" Type="http://schemas.openxmlformats.org/officeDocument/2006/relationships/image" Target="../media/image7.emf"/><Relationship Id="rId1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4715</xdr:colOff>
      <xdr:row>18</xdr:row>
      <xdr:rowOff>183427</xdr:rowOff>
    </xdr:from>
    <xdr:to>
      <xdr:col>5</xdr:col>
      <xdr:colOff>231214</xdr:colOff>
      <xdr:row>31</xdr:row>
      <xdr:rowOff>76270</xdr:rowOff>
    </xdr:to>
    <xdr:sp macro="" textlink="">
      <xdr:nvSpPr>
        <xdr:cNvPr id="13" name="Obdĺžnik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15" y="3612427"/>
          <a:ext cx="3252087" cy="2369343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10503</xdr:colOff>
      <xdr:row>5</xdr:row>
      <xdr:rowOff>78441</xdr:rowOff>
    </xdr:from>
    <xdr:to>
      <xdr:col>7</xdr:col>
      <xdr:colOff>336176</xdr:colOff>
      <xdr:row>18</xdr:row>
      <xdr:rowOff>119474</xdr:rowOff>
    </xdr:to>
    <xdr:sp macro="" textlink="">
      <xdr:nvSpPr>
        <xdr:cNvPr id="12" name="Obdĺžnik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503" y="1030941"/>
          <a:ext cx="4561497" cy="2517533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7</xdr:col>
      <xdr:colOff>370487</xdr:colOff>
      <xdr:row>5</xdr:row>
      <xdr:rowOff>78441</xdr:rowOff>
    </xdr:from>
    <xdr:to>
      <xdr:col>13</xdr:col>
      <xdr:colOff>582706</xdr:colOff>
      <xdr:row>18</xdr:row>
      <xdr:rowOff>121856</xdr:rowOff>
    </xdr:to>
    <xdr:sp macro="" textlink="">
      <xdr:nvSpPr>
        <xdr:cNvPr id="2" name="Obdĺžn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06311" y="1030941"/>
          <a:ext cx="3842924" cy="2519915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0</xdr:rowOff>
        </xdr:from>
        <xdr:to>
          <xdr:col>2</xdr:col>
          <xdr:colOff>333375</xdr:colOff>
          <xdr:row>9</xdr:row>
          <xdr:rowOff>57150</xdr:rowOff>
        </xdr:to>
        <xdr:sp macro="" textlink="">
          <xdr:nvSpPr>
            <xdr:cNvPr id="25602" name="M_OVERENIA_KAO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6</xdr:row>
          <xdr:rowOff>0</xdr:rowOff>
        </xdr:from>
        <xdr:to>
          <xdr:col>5</xdr:col>
          <xdr:colOff>9525</xdr:colOff>
          <xdr:row>9</xdr:row>
          <xdr:rowOff>57150</xdr:rowOff>
        </xdr:to>
        <xdr:sp macro="" textlink="">
          <xdr:nvSpPr>
            <xdr:cNvPr id="25603" name="M_OVERENIA_VPVC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0</xdr:rowOff>
        </xdr:from>
        <xdr:to>
          <xdr:col>7</xdr:col>
          <xdr:colOff>295275</xdr:colOff>
          <xdr:row>9</xdr:row>
          <xdr:rowOff>57150</xdr:rowOff>
        </xdr:to>
        <xdr:sp macro="" textlink="">
          <xdr:nvSpPr>
            <xdr:cNvPr id="25604" name="MODUL_UPP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6</xdr:row>
          <xdr:rowOff>0</xdr:rowOff>
        </xdr:from>
        <xdr:to>
          <xdr:col>10</xdr:col>
          <xdr:colOff>104775</xdr:colOff>
          <xdr:row>9</xdr:row>
          <xdr:rowOff>57150</xdr:rowOff>
        </xdr:to>
        <xdr:sp macro="" textlink="">
          <xdr:nvSpPr>
            <xdr:cNvPr id="25605" name="CommandButton1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10</xdr:row>
          <xdr:rowOff>0</xdr:rowOff>
        </xdr:from>
        <xdr:to>
          <xdr:col>10</xdr:col>
          <xdr:colOff>85725</xdr:colOff>
          <xdr:row>13</xdr:row>
          <xdr:rowOff>57150</xdr:rowOff>
        </xdr:to>
        <xdr:sp macro="" textlink="">
          <xdr:nvSpPr>
            <xdr:cNvPr id="25606" name="CommandButton2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14</xdr:row>
          <xdr:rowOff>0</xdr:rowOff>
        </xdr:from>
        <xdr:to>
          <xdr:col>10</xdr:col>
          <xdr:colOff>95250</xdr:colOff>
          <xdr:row>17</xdr:row>
          <xdr:rowOff>66675</xdr:rowOff>
        </xdr:to>
        <xdr:sp macro="" textlink="">
          <xdr:nvSpPr>
            <xdr:cNvPr id="25607" name="CommandButton3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19</xdr:row>
          <xdr:rowOff>104775</xdr:rowOff>
        </xdr:from>
        <xdr:to>
          <xdr:col>2</xdr:col>
          <xdr:colOff>323850</xdr:colOff>
          <xdr:row>22</xdr:row>
          <xdr:rowOff>161925</xdr:rowOff>
        </xdr:to>
        <xdr:sp macro="" textlink="">
          <xdr:nvSpPr>
            <xdr:cNvPr id="25608" name="CommandButton4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0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19</xdr:row>
          <xdr:rowOff>104775</xdr:rowOff>
        </xdr:from>
        <xdr:to>
          <xdr:col>5</xdr:col>
          <xdr:colOff>142875</xdr:colOff>
          <xdr:row>22</xdr:row>
          <xdr:rowOff>161925</xdr:rowOff>
        </xdr:to>
        <xdr:sp macro="" textlink="">
          <xdr:nvSpPr>
            <xdr:cNvPr id="25609" name="CommandButton5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0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34313</xdr:colOff>
      <xdr:row>9</xdr:row>
      <xdr:rowOff>168088</xdr:rowOff>
    </xdr:from>
    <xdr:to>
      <xdr:col>7</xdr:col>
      <xdr:colOff>268941</xdr:colOff>
      <xdr:row>18</xdr:row>
      <xdr:rowOff>134471</xdr:rowOff>
    </xdr:to>
    <xdr:sp macro="" textlink="">
      <xdr:nvSpPr>
        <xdr:cNvPr id="3" name="Obdĺžn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313" y="1882588"/>
          <a:ext cx="4470452" cy="16808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bg1"/>
              </a:solidFill>
            </a:rPr>
            <a:t>Blok overí jednotlivé</a:t>
          </a:r>
          <a:r>
            <a:rPr lang="sk-SK" sz="1100" baseline="0">
              <a:solidFill>
                <a:schemeClr val="bg1"/>
              </a:solidFill>
            </a:rPr>
            <a:t> vyrobiteľnosť produktov zadaných zákazníkom a navrhne postupnosť spracovania produktov z hľadiska ich podobnosti a potrebného času odovzdania zákazníkovy. </a:t>
          </a:r>
        </a:p>
        <a:p>
          <a:pPr algn="l"/>
          <a:endParaRPr lang="sk-SK" sz="1100" baseline="0">
            <a:solidFill>
              <a:schemeClr val="bg1"/>
            </a:solidFill>
          </a:endParaRPr>
        </a:p>
        <a:p>
          <a:pPr algn="l"/>
          <a:r>
            <a:rPr lang="sk-SK" sz="1100" baseline="0">
              <a:solidFill>
                <a:srgbClr val="FFFF00"/>
              </a:solidFill>
            </a:rPr>
            <a:t>Pozn.: pre daný blok je potrebný softvér NCSS97, pre posúdenie produktov klástrovou analýzou.</a:t>
          </a:r>
          <a:endParaRPr lang="sk-SK" sz="1100">
            <a:solidFill>
              <a:srgbClr val="FFFF00"/>
            </a:solidFill>
          </a:endParaRPr>
        </a:p>
      </xdr:txBody>
    </xdr:sp>
    <xdr:clientData/>
  </xdr:twoCellAnchor>
  <xdr:twoCellAnchor>
    <xdr:from>
      <xdr:col>10</xdr:col>
      <xdr:colOff>100854</xdr:colOff>
      <xdr:row>5</xdr:row>
      <xdr:rowOff>119874</xdr:rowOff>
    </xdr:from>
    <xdr:to>
      <xdr:col>13</xdr:col>
      <xdr:colOff>582707</xdr:colOff>
      <xdr:row>18</xdr:row>
      <xdr:rowOff>168086</xdr:rowOff>
    </xdr:to>
    <xdr:sp macro="" textlink="">
      <xdr:nvSpPr>
        <xdr:cNvPr id="15" name="Obdĺžnik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52030" y="1072374"/>
          <a:ext cx="2297206" cy="252471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bg1"/>
              </a:solidFill>
            </a:rPr>
            <a:t>Blok vytvorí výrobkovú rodinu,</a:t>
          </a:r>
          <a:r>
            <a:rPr lang="sk-SK" sz="1100" baseline="0">
              <a:solidFill>
                <a:schemeClr val="bg1"/>
              </a:solidFill>
            </a:rPr>
            <a:t> overí rodinu výrobkov v simulačnom softvéry a definuje dostupný počet strojov z vypočítanou potrebnou zálohou pre priradenie rodiny produktov ku výrobným zariadeniam.</a:t>
          </a:r>
        </a:p>
        <a:p>
          <a:pPr algn="l"/>
          <a:endParaRPr lang="sk-SK" sz="1100" baseline="0">
            <a:solidFill>
              <a:schemeClr val="bg1"/>
            </a:solidFill>
          </a:endParaRPr>
        </a:p>
        <a:p>
          <a:pPr algn="l"/>
          <a:r>
            <a:rPr lang="sk-SK" sz="1100" baseline="0">
              <a:solidFill>
                <a:srgbClr val="FFFF00"/>
              </a:solidFill>
            </a:rPr>
            <a:t>Pozn.: Pre daný blok je potrebný softvér Tecnomatix Plant simulation 14.2 ktorý overuje kapacitné požiadavky na zariadenia prostredníctvom parametrickej simulácie vytvárané rodiny výrobkov.</a:t>
          </a:r>
          <a:endParaRPr lang="sk-SK" sz="1100">
            <a:solidFill>
              <a:srgbClr val="FFFF00"/>
            </a:solidFill>
          </a:endParaRPr>
        </a:p>
      </xdr:txBody>
    </xdr:sp>
    <xdr:clientData/>
  </xdr:twoCellAnchor>
  <xdr:twoCellAnchor>
    <xdr:from>
      <xdr:col>0</xdr:col>
      <xdr:colOff>44438</xdr:colOff>
      <xdr:row>23</xdr:row>
      <xdr:rowOff>11206</xdr:rowOff>
    </xdr:from>
    <xdr:to>
      <xdr:col>5</xdr:col>
      <xdr:colOff>179292</xdr:colOff>
      <xdr:row>35</xdr:row>
      <xdr:rowOff>1593</xdr:rowOff>
    </xdr:to>
    <xdr:sp macro="" textlink="">
      <xdr:nvSpPr>
        <xdr:cNvPr id="16" name="Obdĺžnik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4438" y="4392706"/>
          <a:ext cx="3160442" cy="22763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bg1"/>
              </a:solidFill>
            </a:rPr>
            <a:t>Blok posúdi nepriradené</a:t>
          </a:r>
          <a:r>
            <a:rPr lang="sk-SK" sz="1100" baseline="0">
              <a:solidFill>
                <a:schemeClr val="bg1"/>
              </a:solidFill>
            </a:rPr>
            <a:t> produkty a ich možnosť spracovania v nasledujúcej ITERÁCIÍ. </a:t>
          </a:r>
        </a:p>
        <a:p>
          <a:pPr algn="l"/>
          <a:endParaRPr lang="sk-SK" sz="1100" baseline="0">
            <a:solidFill>
              <a:schemeClr val="bg1"/>
            </a:solidFill>
          </a:endParaRPr>
        </a:p>
        <a:p>
          <a:pPr algn="l"/>
          <a:r>
            <a:rPr lang="sk-SK" sz="1100" baseline="0">
              <a:solidFill>
                <a:schemeClr val="bg1"/>
              </a:solidFill>
            </a:rPr>
            <a:t>Ďalším krokom bloku je presun na ďalšiu ITERÁCIU po uplynutí definvoaného času T(alfa) produktovej rodiny </a:t>
          </a:r>
          <a:endParaRPr lang="sk-SK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280380</xdr:colOff>
      <xdr:row>18</xdr:row>
      <xdr:rowOff>190151</xdr:rowOff>
    </xdr:from>
    <xdr:to>
      <xdr:col>13</xdr:col>
      <xdr:colOff>582706</xdr:colOff>
      <xdr:row>31</xdr:row>
      <xdr:rowOff>82994</xdr:rowOff>
    </xdr:to>
    <xdr:sp macro="" textlink="">
      <xdr:nvSpPr>
        <xdr:cNvPr id="17" name="Obdĺžnik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05968" y="3619151"/>
          <a:ext cx="5143267" cy="2369343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19</xdr:row>
          <xdr:rowOff>114300</xdr:rowOff>
        </xdr:from>
        <xdr:to>
          <xdr:col>7</xdr:col>
          <xdr:colOff>228600</xdr:colOff>
          <xdr:row>22</xdr:row>
          <xdr:rowOff>180975</xdr:rowOff>
        </xdr:to>
        <xdr:sp macro="" textlink="">
          <xdr:nvSpPr>
            <xdr:cNvPr id="25610" name="CommandButton6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0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19</xdr:row>
          <xdr:rowOff>114300</xdr:rowOff>
        </xdr:from>
        <xdr:to>
          <xdr:col>9</xdr:col>
          <xdr:colOff>114300</xdr:colOff>
          <xdr:row>22</xdr:row>
          <xdr:rowOff>171450</xdr:rowOff>
        </xdr:to>
        <xdr:sp macro="" textlink="">
          <xdr:nvSpPr>
            <xdr:cNvPr id="25611" name="CommandButton7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0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19</xdr:row>
          <xdr:rowOff>114300</xdr:rowOff>
        </xdr:from>
        <xdr:to>
          <xdr:col>10</xdr:col>
          <xdr:colOff>600075</xdr:colOff>
          <xdr:row>22</xdr:row>
          <xdr:rowOff>171450</xdr:rowOff>
        </xdr:to>
        <xdr:sp macro="" textlink="">
          <xdr:nvSpPr>
            <xdr:cNvPr id="25612" name="CommandButton8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0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19</xdr:row>
          <xdr:rowOff>114300</xdr:rowOff>
        </xdr:from>
        <xdr:to>
          <xdr:col>12</xdr:col>
          <xdr:colOff>485775</xdr:colOff>
          <xdr:row>22</xdr:row>
          <xdr:rowOff>171450</xdr:rowOff>
        </xdr:to>
        <xdr:sp macro="" textlink="">
          <xdr:nvSpPr>
            <xdr:cNvPr id="25613" name="CommandButton9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0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23</xdr:row>
          <xdr:rowOff>95250</xdr:rowOff>
        </xdr:from>
        <xdr:to>
          <xdr:col>7</xdr:col>
          <xdr:colOff>219075</xdr:colOff>
          <xdr:row>26</xdr:row>
          <xdr:rowOff>152400</xdr:rowOff>
        </xdr:to>
        <xdr:sp macro="" textlink="">
          <xdr:nvSpPr>
            <xdr:cNvPr id="25614" name="CommandButton10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0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23</xdr:row>
          <xdr:rowOff>104775</xdr:rowOff>
        </xdr:from>
        <xdr:to>
          <xdr:col>9</xdr:col>
          <xdr:colOff>95250</xdr:colOff>
          <xdr:row>26</xdr:row>
          <xdr:rowOff>161925</xdr:rowOff>
        </xdr:to>
        <xdr:sp macro="" textlink="">
          <xdr:nvSpPr>
            <xdr:cNvPr id="25615" name="CommandButton11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0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23</xdr:row>
          <xdr:rowOff>104775</xdr:rowOff>
        </xdr:from>
        <xdr:to>
          <xdr:col>10</xdr:col>
          <xdr:colOff>571500</xdr:colOff>
          <xdr:row>26</xdr:row>
          <xdr:rowOff>161925</xdr:rowOff>
        </xdr:to>
        <xdr:sp macro="" textlink="">
          <xdr:nvSpPr>
            <xdr:cNvPr id="25616" name="CommandButton12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0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57150</xdr:rowOff>
    </xdr:from>
    <xdr:to>
      <xdr:col>14</xdr:col>
      <xdr:colOff>11206</xdr:colOff>
      <xdr:row>24</xdr:row>
      <xdr:rowOff>180975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76200</xdr:rowOff>
        </xdr:from>
        <xdr:to>
          <xdr:col>9</xdr:col>
          <xdr:colOff>504825</xdr:colOff>
          <xdr:row>3</xdr:row>
          <xdr:rowOff>142875</xdr:rowOff>
        </xdr:to>
        <xdr:sp macro="" textlink="">
          <xdr:nvSpPr>
            <xdr:cNvPr id="30721" name="CONSO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152400</xdr:rowOff>
        </xdr:from>
        <xdr:to>
          <xdr:col>1</xdr:col>
          <xdr:colOff>419100</xdr:colOff>
          <xdr:row>6</xdr:row>
          <xdr:rowOff>28575</xdr:rowOff>
        </xdr:to>
        <xdr:sp macro="" textlink="">
          <xdr:nvSpPr>
            <xdr:cNvPr id="38913" name="GO_CLUSTE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353786</xdr:colOff>
      <xdr:row>13</xdr:row>
      <xdr:rowOff>27214</xdr:rowOff>
    </xdr:from>
    <xdr:to>
      <xdr:col>13</xdr:col>
      <xdr:colOff>68036</xdr:colOff>
      <xdr:row>32</xdr:row>
      <xdr:rowOff>5797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5C6A99EE-CD10-4764-82B1-B80DAD19C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4072" y="2694214"/>
          <a:ext cx="3755571" cy="3598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90053</xdr:colOff>
      <xdr:row>18</xdr:row>
      <xdr:rowOff>90053</xdr:rowOff>
    </xdr:from>
    <xdr:to>
      <xdr:col>22</xdr:col>
      <xdr:colOff>103042</xdr:colOff>
      <xdr:row>24</xdr:row>
      <xdr:rowOff>175779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53" y="4644735"/>
          <a:ext cx="1225262" cy="122872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227727</xdr:colOff>
      <xdr:row>3</xdr:row>
      <xdr:rowOff>868500</xdr:rowOff>
    </xdr:to>
    <xdr:sp macro="" textlink="">
      <xdr:nvSpPr>
        <xdr:cNvPr id="2" name="obdl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0" y="0"/>
          <a:ext cx="1437962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3</xdr:row>
      <xdr:rowOff>880783</xdr:rowOff>
    </xdr:from>
    <xdr:to>
      <xdr:col>2</xdr:col>
      <xdr:colOff>227727</xdr:colOff>
      <xdr:row>9</xdr:row>
      <xdr:rowOff>45989</xdr:rowOff>
    </xdr:to>
    <xdr:sp macro="" textlink="">
      <xdr:nvSpPr>
        <xdr:cNvPr id="4" name="obdl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0" y="1452283"/>
          <a:ext cx="1437962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9</xdr:row>
      <xdr:rowOff>40341</xdr:rowOff>
    </xdr:from>
    <xdr:to>
      <xdr:col>2</xdr:col>
      <xdr:colOff>227727</xdr:colOff>
      <xdr:row>16</xdr:row>
      <xdr:rowOff>146841</xdr:rowOff>
    </xdr:to>
    <xdr:sp macro="" textlink="">
      <xdr:nvSpPr>
        <xdr:cNvPr id="5" name="obdl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0" y="2886635"/>
          <a:ext cx="1437962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16</xdr:row>
      <xdr:rowOff>159124</xdr:rowOff>
    </xdr:from>
    <xdr:to>
      <xdr:col>2</xdr:col>
      <xdr:colOff>227727</xdr:colOff>
      <xdr:row>24</xdr:row>
      <xdr:rowOff>75124</xdr:rowOff>
    </xdr:to>
    <xdr:sp macro="" textlink="">
      <xdr:nvSpPr>
        <xdr:cNvPr id="6" name="obdl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0" y="4338918"/>
          <a:ext cx="1437962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24</xdr:row>
      <xdr:rowOff>91888</xdr:rowOff>
    </xdr:from>
    <xdr:to>
      <xdr:col>2</xdr:col>
      <xdr:colOff>227727</xdr:colOff>
      <xdr:row>32</xdr:row>
      <xdr:rowOff>7888</xdr:rowOff>
    </xdr:to>
    <xdr:sp macro="" textlink="">
      <xdr:nvSpPr>
        <xdr:cNvPr id="7" name="obdl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0" y="5795682"/>
          <a:ext cx="1437962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32</xdr:row>
      <xdr:rowOff>20171</xdr:rowOff>
    </xdr:from>
    <xdr:to>
      <xdr:col>2</xdr:col>
      <xdr:colOff>227727</xdr:colOff>
      <xdr:row>39</xdr:row>
      <xdr:rowOff>126671</xdr:rowOff>
    </xdr:to>
    <xdr:sp macro="" textlink="">
      <xdr:nvSpPr>
        <xdr:cNvPr id="8" name="obdl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0" y="7247965"/>
          <a:ext cx="1437962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39</xdr:row>
      <xdr:rowOff>117764</xdr:rowOff>
    </xdr:from>
    <xdr:to>
      <xdr:col>2</xdr:col>
      <xdr:colOff>227727</xdr:colOff>
      <xdr:row>47</xdr:row>
      <xdr:rowOff>33764</xdr:rowOff>
    </xdr:to>
    <xdr:sp macro="" textlink="">
      <xdr:nvSpPr>
        <xdr:cNvPr id="9" name="obdl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0" y="8672946"/>
          <a:ext cx="1440000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47</xdr:row>
      <xdr:rowOff>46047</xdr:rowOff>
    </xdr:from>
    <xdr:to>
      <xdr:col>2</xdr:col>
      <xdr:colOff>227727</xdr:colOff>
      <xdr:row>54</xdr:row>
      <xdr:rowOff>146435</xdr:rowOff>
    </xdr:to>
    <xdr:sp macro="" textlink="">
      <xdr:nvSpPr>
        <xdr:cNvPr id="10" name="obdl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0" y="10125229"/>
          <a:ext cx="1440000" cy="1433888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54</xdr:row>
      <xdr:rowOff>140787</xdr:rowOff>
    </xdr:from>
    <xdr:to>
      <xdr:col>2</xdr:col>
      <xdr:colOff>227727</xdr:colOff>
      <xdr:row>62</xdr:row>
      <xdr:rowOff>56787</xdr:rowOff>
    </xdr:to>
    <xdr:sp macro="" textlink="">
      <xdr:nvSpPr>
        <xdr:cNvPr id="11" name="obdl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0" y="11553469"/>
          <a:ext cx="1440000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62</xdr:row>
      <xdr:rowOff>69070</xdr:rowOff>
    </xdr:from>
    <xdr:to>
      <xdr:col>2</xdr:col>
      <xdr:colOff>227727</xdr:colOff>
      <xdr:row>69</xdr:row>
      <xdr:rowOff>175570</xdr:rowOff>
    </xdr:to>
    <xdr:sp macro="" textlink="">
      <xdr:nvSpPr>
        <xdr:cNvPr id="12" name="obdl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/>
      </xdr:nvSpPr>
      <xdr:spPr>
        <a:xfrm>
          <a:off x="0" y="13005752"/>
          <a:ext cx="1440000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70</xdr:row>
      <xdr:rowOff>1834</xdr:rowOff>
    </xdr:from>
    <xdr:to>
      <xdr:col>2</xdr:col>
      <xdr:colOff>227727</xdr:colOff>
      <xdr:row>77</xdr:row>
      <xdr:rowOff>108334</xdr:rowOff>
    </xdr:to>
    <xdr:sp macro="" textlink="">
      <xdr:nvSpPr>
        <xdr:cNvPr id="13" name="obdl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0" y="14462516"/>
          <a:ext cx="1440000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0</xdr:col>
      <xdr:colOff>0</xdr:colOff>
      <xdr:row>77</xdr:row>
      <xdr:rowOff>120617</xdr:rowOff>
    </xdr:from>
    <xdr:to>
      <xdr:col>2</xdr:col>
      <xdr:colOff>227727</xdr:colOff>
      <xdr:row>85</xdr:row>
      <xdr:rowOff>36617</xdr:rowOff>
    </xdr:to>
    <xdr:sp macro="" textlink="">
      <xdr:nvSpPr>
        <xdr:cNvPr id="14" name="obdl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/>
      </xdr:nvSpPr>
      <xdr:spPr>
        <a:xfrm>
          <a:off x="0" y="15914799"/>
          <a:ext cx="1440000" cy="144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28575</xdr:rowOff>
    </xdr:from>
    <xdr:to>
      <xdr:col>20</xdr:col>
      <xdr:colOff>447674</xdr:colOff>
      <xdr:row>11</xdr:row>
      <xdr:rowOff>152400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152401</xdr:colOff>
      <xdr:row>11</xdr:row>
      <xdr:rowOff>171451</xdr:rowOff>
    </xdr:from>
    <xdr:to>
      <xdr:col>11</xdr:col>
      <xdr:colOff>542926</xdr:colOff>
      <xdr:row>29</xdr:row>
      <xdr:rowOff>187849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52876" y="2266951"/>
          <a:ext cx="3581400" cy="3445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20554</xdr:colOff>
      <xdr:row>44</xdr:row>
      <xdr:rowOff>0</xdr:rowOff>
    </xdr:from>
    <xdr:to>
      <xdr:col>11</xdr:col>
      <xdr:colOff>552450</xdr:colOff>
      <xdr:row>62</xdr:row>
      <xdr:rowOff>152400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1029" y="8382000"/>
          <a:ext cx="3722771" cy="3581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440405</xdr:colOff>
      <xdr:row>76</xdr:row>
      <xdr:rowOff>66674</xdr:rowOff>
    </xdr:from>
    <xdr:to>
      <xdr:col>11</xdr:col>
      <xdr:colOff>423236</xdr:colOff>
      <xdr:row>95</xdr:row>
      <xdr:rowOff>114300</xdr:rowOff>
    </xdr:to>
    <xdr:pic>
      <xdr:nvPicPr>
        <xdr:cNvPr id="4" name="Obrázok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2705" y="14544674"/>
          <a:ext cx="3811881" cy="3667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577140</xdr:colOff>
      <xdr:row>109</xdr:row>
      <xdr:rowOff>161924</xdr:rowOff>
    </xdr:from>
    <xdr:to>
      <xdr:col>11</xdr:col>
      <xdr:colOff>409575</xdr:colOff>
      <xdr:row>128</xdr:row>
      <xdr:rowOff>64865</xdr:rowOff>
    </xdr:to>
    <xdr:pic>
      <xdr:nvPicPr>
        <xdr:cNvPr id="5" name="Obrázok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9440" y="20926424"/>
          <a:ext cx="3661485" cy="35224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25"/>
  <dimension ref="A1:K12"/>
  <sheetViews>
    <sheetView tabSelected="1" zoomScale="85" zoomScaleNormal="85" workbookViewId="0">
      <selection activeCell="L39" sqref="L39"/>
    </sheetView>
  </sheetViews>
  <sheetFormatPr defaultRowHeight="15" x14ac:dyDescent="0.25"/>
  <cols>
    <col min="1" max="16384" width="9.140625" style="24"/>
  </cols>
  <sheetData>
    <row r="1" spans="1:11" x14ac:dyDescent="0.25">
      <c r="A1" s="47" t="s">
        <v>288</v>
      </c>
      <c r="B1" s="47">
        <v>1</v>
      </c>
      <c r="C1" s="86">
        <v>8</v>
      </c>
      <c r="D1" s="47">
        <v>2</v>
      </c>
      <c r="E1" s="47">
        <v>7</v>
      </c>
      <c r="F1" s="47">
        <v>4</v>
      </c>
      <c r="G1" s="47">
        <v>10</v>
      </c>
      <c r="H1" s="47">
        <v>5</v>
      </c>
      <c r="I1" s="47">
        <v>9</v>
      </c>
      <c r="J1" s="47">
        <v>3</v>
      </c>
      <c r="K1" s="47">
        <v>6</v>
      </c>
    </row>
    <row r="2" spans="1:11" x14ac:dyDescent="0.25">
      <c r="A2" s="47"/>
      <c r="B2" s="91" t="s">
        <v>185</v>
      </c>
      <c r="C2" s="92" t="s">
        <v>185</v>
      </c>
      <c r="D2" s="94" t="s">
        <v>191</v>
      </c>
      <c r="E2" s="91" t="s">
        <v>185</v>
      </c>
      <c r="F2" s="94" t="s">
        <v>191</v>
      </c>
      <c r="G2" s="94" t="s">
        <v>191</v>
      </c>
      <c r="H2" s="94" t="s">
        <v>191</v>
      </c>
      <c r="I2" s="94" t="s">
        <v>191</v>
      </c>
      <c r="J2" s="94" t="s">
        <v>191</v>
      </c>
      <c r="K2" s="94" t="s">
        <v>191</v>
      </c>
    </row>
    <row r="3" spans="1:11" x14ac:dyDescent="0.25">
      <c r="A3" s="47" t="s">
        <v>321</v>
      </c>
      <c r="B3" s="47">
        <v>45</v>
      </c>
    </row>
    <row r="4" spans="1:11" x14ac:dyDescent="0.25">
      <c r="A4" s="47" t="s">
        <v>322</v>
      </c>
      <c r="B4" s="47">
        <v>45</v>
      </c>
    </row>
    <row r="5" spans="1:11" x14ac:dyDescent="0.25">
      <c r="A5" s="47" t="s">
        <v>323</v>
      </c>
      <c r="B5" s="47">
        <v>50</v>
      </c>
    </row>
    <row r="12" spans="1:11" x14ac:dyDescent="0.25">
      <c r="H12" s="24">
        <v>3</v>
      </c>
    </row>
  </sheetData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5616" r:id="rId4" name="CommandButton12">
          <controlPr defaultSize="0" autoLine="0" r:id="rId5">
            <anchor moveWithCells="1">
              <from>
                <xdr:col>9</xdr:col>
                <xdr:colOff>190500</xdr:colOff>
                <xdr:row>23</xdr:row>
                <xdr:rowOff>104775</xdr:rowOff>
              </from>
              <to>
                <xdr:col>10</xdr:col>
                <xdr:colOff>571500</xdr:colOff>
                <xdr:row>26</xdr:row>
                <xdr:rowOff>161925</xdr:rowOff>
              </to>
            </anchor>
          </controlPr>
        </control>
      </mc:Choice>
      <mc:Fallback>
        <control shapeId="25616" r:id="rId4" name="CommandButton12"/>
      </mc:Fallback>
    </mc:AlternateContent>
    <mc:AlternateContent xmlns:mc="http://schemas.openxmlformats.org/markup-compatibility/2006">
      <mc:Choice Requires="x14">
        <control shapeId="25615" r:id="rId6" name="CommandButton11">
          <controlPr defaultSize="0" autoLine="0" r:id="rId7">
            <anchor moveWithCells="1">
              <from>
                <xdr:col>7</xdr:col>
                <xdr:colOff>314325</xdr:colOff>
                <xdr:row>23</xdr:row>
                <xdr:rowOff>104775</xdr:rowOff>
              </from>
              <to>
                <xdr:col>9</xdr:col>
                <xdr:colOff>95250</xdr:colOff>
                <xdr:row>26</xdr:row>
                <xdr:rowOff>161925</xdr:rowOff>
              </to>
            </anchor>
          </controlPr>
        </control>
      </mc:Choice>
      <mc:Fallback>
        <control shapeId="25615" r:id="rId6" name="CommandButton11"/>
      </mc:Fallback>
    </mc:AlternateContent>
    <mc:AlternateContent xmlns:mc="http://schemas.openxmlformats.org/markup-compatibility/2006">
      <mc:Choice Requires="x14">
        <control shapeId="25614" r:id="rId8" name="CommandButton10">
          <controlPr defaultSize="0" autoLine="0" r:id="rId9">
            <anchor moveWithCells="1">
              <from>
                <xdr:col>5</xdr:col>
                <xdr:colOff>438150</xdr:colOff>
                <xdr:row>23</xdr:row>
                <xdr:rowOff>95250</xdr:rowOff>
              </from>
              <to>
                <xdr:col>7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25614" r:id="rId8" name="CommandButton10"/>
      </mc:Fallback>
    </mc:AlternateContent>
    <mc:AlternateContent xmlns:mc="http://schemas.openxmlformats.org/markup-compatibility/2006">
      <mc:Choice Requires="x14">
        <control shapeId="25613" r:id="rId10" name="CommandButton9">
          <controlPr defaultSize="0" autoLine="0" r:id="rId11">
            <anchor moveWithCells="1">
              <from>
                <xdr:col>11</xdr:col>
                <xdr:colOff>95250</xdr:colOff>
                <xdr:row>19</xdr:row>
                <xdr:rowOff>114300</xdr:rowOff>
              </from>
              <to>
                <xdr:col>12</xdr:col>
                <xdr:colOff>485775</xdr:colOff>
                <xdr:row>22</xdr:row>
                <xdr:rowOff>171450</xdr:rowOff>
              </to>
            </anchor>
          </controlPr>
        </control>
      </mc:Choice>
      <mc:Fallback>
        <control shapeId="25613" r:id="rId10" name="CommandButton9"/>
      </mc:Fallback>
    </mc:AlternateContent>
    <mc:AlternateContent xmlns:mc="http://schemas.openxmlformats.org/markup-compatibility/2006">
      <mc:Choice Requires="x14">
        <control shapeId="25612" r:id="rId12" name="CommandButton8">
          <controlPr defaultSize="0" autoLine="0" r:id="rId13">
            <anchor moveWithCells="1">
              <from>
                <xdr:col>9</xdr:col>
                <xdr:colOff>200025</xdr:colOff>
                <xdr:row>19</xdr:row>
                <xdr:rowOff>114300</xdr:rowOff>
              </from>
              <to>
                <xdr:col>10</xdr:col>
                <xdr:colOff>600075</xdr:colOff>
                <xdr:row>22</xdr:row>
                <xdr:rowOff>171450</xdr:rowOff>
              </to>
            </anchor>
          </controlPr>
        </control>
      </mc:Choice>
      <mc:Fallback>
        <control shapeId="25612" r:id="rId12" name="CommandButton8"/>
      </mc:Fallback>
    </mc:AlternateContent>
    <mc:AlternateContent xmlns:mc="http://schemas.openxmlformats.org/markup-compatibility/2006">
      <mc:Choice Requires="x14">
        <control shapeId="25611" r:id="rId14" name="CommandButton7">
          <controlPr defaultSize="0" autoLine="0" r:id="rId15">
            <anchor moveWithCells="1">
              <from>
                <xdr:col>7</xdr:col>
                <xdr:colOff>314325</xdr:colOff>
                <xdr:row>19</xdr:row>
                <xdr:rowOff>114300</xdr:rowOff>
              </from>
              <to>
                <xdr:col>9</xdr:col>
                <xdr:colOff>114300</xdr:colOff>
                <xdr:row>22</xdr:row>
                <xdr:rowOff>171450</xdr:rowOff>
              </to>
            </anchor>
          </controlPr>
        </control>
      </mc:Choice>
      <mc:Fallback>
        <control shapeId="25611" r:id="rId14" name="CommandButton7"/>
      </mc:Fallback>
    </mc:AlternateContent>
    <mc:AlternateContent xmlns:mc="http://schemas.openxmlformats.org/markup-compatibility/2006">
      <mc:Choice Requires="x14">
        <control shapeId="25610" r:id="rId16" name="CommandButton6">
          <controlPr defaultSize="0" autoLine="0" r:id="rId17">
            <anchor moveWithCells="1">
              <from>
                <xdr:col>5</xdr:col>
                <xdr:colOff>428625</xdr:colOff>
                <xdr:row>19</xdr:row>
                <xdr:rowOff>114300</xdr:rowOff>
              </from>
              <to>
                <xdr:col>7</xdr:col>
                <xdr:colOff>228600</xdr:colOff>
                <xdr:row>22</xdr:row>
                <xdr:rowOff>180975</xdr:rowOff>
              </to>
            </anchor>
          </controlPr>
        </control>
      </mc:Choice>
      <mc:Fallback>
        <control shapeId="25610" r:id="rId16" name="CommandButton6"/>
      </mc:Fallback>
    </mc:AlternateContent>
    <mc:AlternateContent xmlns:mc="http://schemas.openxmlformats.org/markup-compatibility/2006">
      <mc:Choice Requires="x14">
        <control shapeId="25602" r:id="rId18" name="M_OVERENIA_KAOD">
          <controlPr defaultSize="0" autoLine="0" r:id="rId19">
            <anchor moveWithCells="1">
              <from>
                <xdr:col>0</xdr:col>
                <xdr:colOff>85725</xdr:colOff>
                <xdr:row>6</xdr:row>
                <xdr:rowOff>0</xdr:rowOff>
              </from>
              <to>
                <xdr:col>2</xdr:col>
                <xdr:colOff>333375</xdr:colOff>
                <xdr:row>9</xdr:row>
                <xdr:rowOff>57150</xdr:rowOff>
              </to>
            </anchor>
          </controlPr>
        </control>
      </mc:Choice>
      <mc:Fallback>
        <control shapeId="25602" r:id="rId18" name="M_OVERENIA_KAOD"/>
      </mc:Fallback>
    </mc:AlternateContent>
    <mc:AlternateContent xmlns:mc="http://schemas.openxmlformats.org/markup-compatibility/2006">
      <mc:Choice Requires="x14">
        <control shapeId="25603" r:id="rId20" name="M_OVERENIA_VPVC">
          <controlPr defaultSize="0" autoLine="0" r:id="rId21">
            <anchor moveWithCells="1">
              <from>
                <xdr:col>2</xdr:col>
                <xdr:colOff>371475</xdr:colOff>
                <xdr:row>6</xdr:row>
                <xdr:rowOff>0</xdr:rowOff>
              </from>
              <to>
                <xdr:col>5</xdr:col>
                <xdr:colOff>9525</xdr:colOff>
                <xdr:row>9</xdr:row>
                <xdr:rowOff>57150</xdr:rowOff>
              </to>
            </anchor>
          </controlPr>
        </control>
      </mc:Choice>
      <mc:Fallback>
        <control shapeId="25603" r:id="rId20" name="M_OVERENIA_VPVC"/>
      </mc:Fallback>
    </mc:AlternateContent>
    <mc:AlternateContent xmlns:mc="http://schemas.openxmlformats.org/markup-compatibility/2006">
      <mc:Choice Requires="x14">
        <control shapeId="25604" r:id="rId22" name="MODUL_UPP">
          <controlPr defaultSize="0" autoLine="0" r:id="rId23">
            <anchor moveWithCells="1">
              <from>
                <xdr:col>5</xdr:col>
                <xdr:colOff>47625</xdr:colOff>
                <xdr:row>6</xdr:row>
                <xdr:rowOff>0</xdr:rowOff>
              </from>
              <to>
                <xdr:col>7</xdr:col>
                <xdr:colOff>295275</xdr:colOff>
                <xdr:row>9</xdr:row>
                <xdr:rowOff>57150</xdr:rowOff>
              </to>
            </anchor>
          </controlPr>
        </control>
      </mc:Choice>
      <mc:Fallback>
        <control shapeId="25604" r:id="rId22" name="MODUL_UPP"/>
      </mc:Fallback>
    </mc:AlternateContent>
    <mc:AlternateContent xmlns:mc="http://schemas.openxmlformats.org/markup-compatibility/2006">
      <mc:Choice Requires="x14">
        <control shapeId="25605" r:id="rId24" name="CommandButton1">
          <controlPr defaultSize="0" autoLine="0" r:id="rId25">
            <anchor moveWithCells="1">
              <from>
                <xdr:col>7</xdr:col>
                <xdr:colOff>457200</xdr:colOff>
                <xdr:row>6</xdr:row>
                <xdr:rowOff>0</xdr:rowOff>
              </from>
              <to>
                <xdr:col>10</xdr:col>
                <xdr:colOff>104775</xdr:colOff>
                <xdr:row>9</xdr:row>
                <xdr:rowOff>57150</xdr:rowOff>
              </to>
            </anchor>
          </controlPr>
        </control>
      </mc:Choice>
      <mc:Fallback>
        <control shapeId="25605" r:id="rId24" name="CommandButton1"/>
      </mc:Fallback>
    </mc:AlternateContent>
    <mc:AlternateContent xmlns:mc="http://schemas.openxmlformats.org/markup-compatibility/2006">
      <mc:Choice Requires="x14">
        <control shapeId="25606" r:id="rId26" name="CommandButton2">
          <controlPr defaultSize="0" autoLine="0" r:id="rId27">
            <anchor moveWithCells="1">
              <from>
                <xdr:col>7</xdr:col>
                <xdr:colOff>447675</xdr:colOff>
                <xdr:row>10</xdr:row>
                <xdr:rowOff>0</xdr:rowOff>
              </from>
              <to>
                <xdr:col>10</xdr:col>
                <xdr:colOff>85725</xdr:colOff>
                <xdr:row>13</xdr:row>
                <xdr:rowOff>57150</xdr:rowOff>
              </to>
            </anchor>
          </controlPr>
        </control>
      </mc:Choice>
      <mc:Fallback>
        <control shapeId="25606" r:id="rId26" name="CommandButton2"/>
      </mc:Fallback>
    </mc:AlternateContent>
    <mc:AlternateContent xmlns:mc="http://schemas.openxmlformats.org/markup-compatibility/2006">
      <mc:Choice Requires="x14">
        <control shapeId="25607" r:id="rId28" name="CommandButton3">
          <controlPr defaultSize="0" autoLine="0" r:id="rId29">
            <anchor moveWithCells="1">
              <from>
                <xdr:col>7</xdr:col>
                <xdr:colOff>447675</xdr:colOff>
                <xdr:row>14</xdr:row>
                <xdr:rowOff>0</xdr:rowOff>
              </from>
              <to>
                <xdr:col>10</xdr:col>
                <xdr:colOff>95250</xdr:colOff>
                <xdr:row>17</xdr:row>
                <xdr:rowOff>66675</xdr:rowOff>
              </to>
            </anchor>
          </controlPr>
        </control>
      </mc:Choice>
      <mc:Fallback>
        <control shapeId="25607" r:id="rId28" name="CommandButton3"/>
      </mc:Fallback>
    </mc:AlternateContent>
    <mc:AlternateContent xmlns:mc="http://schemas.openxmlformats.org/markup-compatibility/2006">
      <mc:Choice Requires="x14">
        <control shapeId="25608" r:id="rId30" name="CommandButton4">
          <controlPr defaultSize="0" autoLine="0" r:id="rId31">
            <anchor moveWithCells="1">
              <from>
                <xdr:col>0</xdr:col>
                <xdr:colOff>66675</xdr:colOff>
                <xdr:row>19</xdr:row>
                <xdr:rowOff>104775</xdr:rowOff>
              </from>
              <to>
                <xdr:col>2</xdr:col>
                <xdr:colOff>323850</xdr:colOff>
                <xdr:row>22</xdr:row>
                <xdr:rowOff>161925</xdr:rowOff>
              </to>
            </anchor>
          </controlPr>
        </control>
      </mc:Choice>
      <mc:Fallback>
        <control shapeId="25608" r:id="rId30" name="CommandButton4"/>
      </mc:Fallback>
    </mc:AlternateContent>
    <mc:AlternateContent xmlns:mc="http://schemas.openxmlformats.org/markup-compatibility/2006">
      <mc:Choice Requires="x14">
        <control shapeId="25609" r:id="rId32" name="CommandButton5">
          <controlPr defaultSize="0" autoLine="0" r:id="rId33">
            <anchor moveWithCells="1">
              <from>
                <xdr:col>2</xdr:col>
                <xdr:colOff>504825</xdr:colOff>
                <xdr:row>19</xdr:row>
                <xdr:rowOff>104775</xdr:rowOff>
              </from>
              <to>
                <xdr:col>5</xdr:col>
                <xdr:colOff>142875</xdr:colOff>
                <xdr:row>22</xdr:row>
                <xdr:rowOff>161925</xdr:rowOff>
              </to>
            </anchor>
          </controlPr>
        </control>
      </mc:Choice>
      <mc:Fallback>
        <control shapeId="25609" r:id="rId3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6"/>
  <dimension ref="A1:AEN46"/>
  <sheetViews>
    <sheetView showGridLines="0" zoomScale="190" zoomScaleNormal="190" workbookViewId="0">
      <selection activeCell="RH21" sqref="RH21"/>
    </sheetView>
  </sheetViews>
  <sheetFormatPr defaultColWidth="0.140625" defaultRowHeight="15" x14ac:dyDescent="0.25"/>
  <cols>
    <col min="1" max="1" width="3.42578125" style="32" customWidth="1"/>
    <col min="2" max="2" width="0.140625" style="51" customWidth="1"/>
    <col min="3" max="16384" width="0.140625" style="51"/>
  </cols>
  <sheetData>
    <row r="1" spans="1:500" s="64" customFormat="1" x14ac:dyDescent="0.25">
      <c r="A1" s="65"/>
    </row>
    <row r="2" spans="1:500" s="64" customFormat="1" x14ac:dyDescent="0.25">
      <c r="A2" s="65">
        <v>1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8"/>
      <c r="CQ2" s="68"/>
      <c r="CR2" s="68"/>
      <c r="CS2" s="68"/>
      <c r="CT2" s="68"/>
      <c r="CU2" s="68"/>
      <c r="CV2" s="68"/>
      <c r="CW2" s="68"/>
      <c r="CX2" s="68"/>
      <c r="CY2" s="68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</row>
    <row r="3" spans="1:500" s="64" customFormat="1" x14ac:dyDescent="0.25">
      <c r="A3" s="65">
        <v>2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</row>
    <row r="4" spans="1:500" s="64" customFormat="1" x14ac:dyDescent="0.25">
      <c r="A4" s="65">
        <v>3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  <c r="BS4" s="68"/>
      <c r="BT4" s="68"/>
      <c r="BU4" s="68"/>
      <c r="BV4" s="68"/>
      <c r="BW4" s="68"/>
      <c r="BX4" s="68"/>
      <c r="BY4" s="68"/>
      <c r="BZ4" s="68"/>
      <c r="CA4" s="68"/>
      <c r="CB4" s="68"/>
      <c r="CC4" s="68"/>
      <c r="CD4" s="68"/>
      <c r="CE4" s="68"/>
      <c r="CF4" s="68"/>
      <c r="CG4" s="68"/>
      <c r="CH4" s="68"/>
      <c r="CI4" s="68"/>
      <c r="CJ4" s="68"/>
      <c r="CK4" s="68"/>
      <c r="CL4" s="68"/>
      <c r="CM4" s="68"/>
      <c r="CN4" s="68"/>
      <c r="CO4" s="68"/>
      <c r="CP4" s="68"/>
      <c r="CQ4" s="68"/>
      <c r="CR4" s="68"/>
      <c r="CS4" s="68"/>
      <c r="CT4" s="68"/>
      <c r="CU4" s="68"/>
      <c r="CV4" s="68"/>
      <c r="CW4" s="68"/>
      <c r="CX4" s="68"/>
      <c r="CY4" s="68"/>
      <c r="CZ4" s="68"/>
      <c r="DA4" s="68"/>
      <c r="DB4" s="68"/>
      <c r="DC4" s="68"/>
      <c r="DD4" s="68"/>
      <c r="DE4" s="68"/>
      <c r="DF4" s="68"/>
      <c r="DG4" s="68"/>
      <c r="DH4" s="68"/>
      <c r="DI4" s="68"/>
      <c r="DJ4" s="68"/>
      <c r="DK4" s="68"/>
      <c r="DL4" s="68"/>
      <c r="DM4" s="68"/>
      <c r="DN4" s="68"/>
      <c r="DO4" s="68"/>
      <c r="DP4" s="68"/>
      <c r="DQ4" s="68"/>
      <c r="DR4" s="68"/>
      <c r="DS4" s="68"/>
      <c r="DT4" s="68"/>
      <c r="DU4" s="68"/>
      <c r="DV4" s="68"/>
      <c r="DW4" s="68"/>
      <c r="DX4" s="68"/>
      <c r="DY4" s="68"/>
      <c r="DZ4" s="68"/>
      <c r="EA4" s="68"/>
      <c r="EB4" s="68"/>
      <c r="EC4" s="68"/>
      <c r="ED4" s="68"/>
      <c r="EE4" s="68"/>
      <c r="EF4" s="68"/>
      <c r="EG4" s="68"/>
      <c r="EH4" s="68"/>
      <c r="EI4" s="68"/>
      <c r="EJ4" s="68"/>
      <c r="EK4" s="68"/>
      <c r="EL4" s="68"/>
      <c r="EM4" s="68"/>
      <c r="EN4" s="68"/>
      <c r="EO4" s="68"/>
      <c r="EP4" s="68"/>
      <c r="EQ4" s="68"/>
      <c r="ER4" s="68"/>
      <c r="ES4" s="68"/>
      <c r="ET4" s="68"/>
      <c r="EU4" s="68"/>
      <c r="EV4" s="68"/>
      <c r="EW4" s="68"/>
      <c r="EX4" s="68"/>
      <c r="EY4" s="68"/>
      <c r="EZ4" s="68"/>
      <c r="FA4" s="68"/>
      <c r="FB4" s="68"/>
      <c r="FC4" s="68"/>
      <c r="FD4" s="68"/>
      <c r="FE4" s="68"/>
      <c r="FF4" s="68"/>
      <c r="FG4" s="68"/>
      <c r="FH4" s="68"/>
      <c r="FI4" s="68"/>
      <c r="FJ4" s="68"/>
      <c r="FK4" s="68"/>
      <c r="FL4" s="68"/>
      <c r="FM4" s="68"/>
      <c r="FN4" s="68"/>
      <c r="FO4" s="68"/>
      <c r="FP4" s="68"/>
      <c r="FQ4" s="68"/>
      <c r="FR4" s="68"/>
      <c r="FS4" s="68"/>
      <c r="FT4" s="68"/>
      <c r="FU4" s="68"/>
      <c r="FV4" s="68"/>
      <c r="FW4" s="68"/>
      <c r="FX4" s="68"/>
      <c r="FY4" s="68"/>
      <c r="FZ4" s="68"/>
      <c r="GA4" s="68"/>
      <c r="GB4" s="68"/>
      <c r="GC4" s="68"/>
      <c r="GD4" s="68"/>
      <c r="GE4" s="68"/>
      <c r="GF4" s="68"/>
      <c r="GG4" s="68"/>
      <c r="GH4" s="68"/>
      <c r="GI4" s="68"/>
      <c r="GJ4" s="68"/>
      <c r="GK4" s="68"/>
      <c r="GL4" s="68"/>
      <c r="GM4" s="68"/>
      <c r="GN4" s="68"/>
      <c r="GO4" s="68"/>
      <c r="GP4" s="68"/>
      <c r="GQ4" s="68"/>
      <c r="GR4" s="68"/>
      <c r="GS4" s="68"/>
      <c r="GT4" s="68"/>
      <c r="GU4" s="68"/>
      <c r="GV4" s="68"/>
      <c r="GW4" s="68"/>
      <c r="GX4" s="68"/>
      <c r="GY4" s="68"/>
      <c r="GZ4" s="68"/>
      <c r="HA4" s="68"/>
      <c r="HB4" s="68"/>
      <c r="HC4" s="68"/>
      <c r="HD4" s="68"/>
      <c r="HE4" s="68"/>
      <c r="HF4" s="68"/>
      <c r="HG4" s="68"/>
      <c r="HH4" s="68"/>
      <c r="HI4" s="68"/>
      <c r="HJ4" s="68"/>
      <c r="HK4" s="68"/>
      <c r="HL4" s="68"/>
      <c r="HM4" s="68"/>
      <c r="HN4" s="68"/>
      <c r="HO4" s="68"/>
      <c r="HP4" s="68"/>
      <c r="HQ4" s="68"/>
      <c r="HR4" s="68"/>
      <c r="HS4" s="68"/>
      <c r="HT4" s="68"/>
      <c r="HU4" s="68"/>
      <c r="HV4" s="68"/>
      <c r="HW4" s="68"/>
      <c r="HX4" s="68"/>
      <c r="HY4" s="68"/>
      <c r="HZ4" s="68"/>
      <c r="IA4" s="68"/>
      <c r="IB4" s="68"/>
      <c r="IC4" s="68"/>
      <c r="ID4" s="68"/>
      <c r="IE4" s="68"/>
      <c r="IF4" s="68"/>
      <c r="IG4" s="68"/>
      <c r="IH4" s="68"/>
      <c r="II4" s="68"/>
      <c r="IJ4" s="68"/>
      <c r="IK4" s="68"/>
      <c r="IL4" s="68"/>
      <c r="IM4" s="68"/>
      <c r="IN4" s="68"/>
      <c r="IO4" s="68"/>
      <c r="IP4" s="68"/>
      <c r="IQ4" s="68"/>
      <c r="IR4" s="68"/>
      <c r="IS4" s="68"/>
      <c r="IT4" s="68"/>
      <c r="IU4" s="68"/>
      <c r="IV4" s="68"/>
      <c r="IW4" s="68"/>
      <c r="IX4" s="68"/>
      <c r="IY4" s="68"/>
      <c r="IZ4" s="68"/>
      <c r="JA4" s="68"/>
      <c r="JB4" s="68"/>
      <c r="JC4" s="68"/>
      <c r="JD4" s="68"/>
      <c r="JE4" s="68"/>
      <c r="JF4" s="68"/>
      <c r="JG4" s="68"/>
      <c r="JH4" s="68"/>
      <c r="JI4" s="68"/>
      <c r="JJ4" s="68"/>
      <c r="JK4" s="68"/>
      <c r="JL4" s="68"/>
      <c r="JM4" s="68"/>
      <c r="JN4" s="68"/>
      <c r="JO4" s="68"/>
      <c r="JP4" s="68"/>
      <c r="JQ4" s="68"/>
      <c r="JR4" s="68"/>
      <c r="JS4" s="68"/>
      <c r="JT4" s="68"/>
      <c r="JU4" s="68"/>
      <c r="JV4" s="68"/>
      <c r="JW4" s="68"/>
      <c r="JX4" s="68"/>
      <c r="JY4" s="68"/>
      <c r="JZ4" s="68"/>
      <c r="KA4" s="68"/>
      <c r="KB4" s="68"/>
      <c r="KC4" s="68"/>
      <c r="KD4" s="68"/>
      <c r="KE4" s="68"/>
      <c r="KF4" s="68"/>
      <c r="KG4" s="68"/>
      <c r="KH4" s="68"/>
      <c r="KI4" s="68"/>
      <c r="KJ4" s="68"/>
      <c r="KK4" s="68"/>
      <c r="KL4" s="68"/>
      <c r="KM4" s="68"/>
      <c r="KN4" s="68"/>
    </row>
    <row r="5" spans="1:500" s="64" customFormat="1" x14ac:dyDescent="0.25">
      <c r="A5" s="65">
        <v>4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</row>
    <row r="6" spans="1:500" s="64" customFormat="1" x14ac:dyDescent="0.25">
      <c r="A6" s="65">
        <v>5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8"/>
    </row>
    <row r="7" spans="1:500" s="64" customFormat="1" x14ac:dyDescent="0.25">
      <c r="A7" s="65">
        <v>6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7"/>
      <c r="JA7" s="67"/>
      <c r="JB7" s="67"/>
      <c r="JC7" s="67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7"/>
      <c r="LA7" s="67"/>
      <c r="LB7" s="67"/>
      <c r="LC7" s="67"/>
      <c r="LD7" s="67"/>
      <c r="LE7" s="67"/>
      <c r="LF7" s="67"/>
      <c r="LG7" s="67"/>
      <c r="LH7" s="67"/>
      <c r="LI7" s="67"/>
      <c r="LJ7" s="67"/>
      <c r="LK7" s="67"/>
      <c r="LL7" s="67"/>
      <c r="LM7" s="67"/>
      <c r="LN7" s="67"/>
      <c r="LO7" s="67"/>
      <c r="LP7" s="67"/>
      <c r="LQ7" s="67"/>
      <c r="LR7" s="67"/>
      <c r="LS7" s="67"/>
      <c r="LT7" s="67"/>
      <c r="LU7" s="67"/>
      <c r="LV7" s="67"/>
      <c r="LW7" s="67"/>
      <c r="LX7" s="67"/>
      <c r="LY7" s="67"/>
      <c r="LZ7" s="67"/>
      <c r="MA7" s="67"/>
      <c r="MB7" s="67"/>
      <c r="MC7" s="67"/>
      <c r="MD7" s="67"/>
      <c r="ME7" s="67"/>
      <c r="MF7" s="67"/>
      <c r="MG7" s="67"/>
      <c r="MH7" s="67"/>
      <c r="MI7" s="67"/>
      <c r="MJ7" s="67"/>
      <c r="MK7" s="67"/>
      <c r="ML7" s="67"/>
      <c r="MM7" s="67"/>
      <c r="MN7" s="67"/>
      <c r="MO7" s="67"/>
      <c r="MP7" s="67"/>
      <c r="MQ7" s="67"/>
      <c r="MR7" s="67"/>
      <c r="MS7" s="67"/>
      <c r="MT7" s="67"/>
      <c r="MU7" s="67"/>
      <c r="MV7" s="67"/>
      <c r="MW7" s="67"/>
      <c r="MX7" s="67"/>
      <c r="MY7" s="67"/>
      <c r="MZ7" s="67"/>
      <c r="NA7" s="67"/>
      <c r="NB7" s="67"/>
      <c r="NC7" s="67"/>
      <c r="ND7" s="68"/>
      <c r="NE7" s="68"/>
      <c r="NF7" s="68"/>
      <c r="NG7" s="68"/>
      <c r="NH7" s="68"/>
      <c r="NI7" s="68"/>
      <c r="NJ7" s="68"/>
      <c r="NK7" s="68"/>
      <c r="NL7" s="68"/>
      <c r="NM7" s="68"/>
      <c r="NN7" s="68"/>
      <c r="NO7" s="68"/>
      <c r="NP7" s="68"/>
      <c r="NQ7" s="68"/>
      <c r="NR7" s="68"/>
      <c r="NS7" s="68"/>
      <c r="NT7" s="68"/>
      <c r="NU7" s="68"/>
      <c r="NV7" s="68"/>
      <c r="NW7" s="68"/>
      <c r="NX7" s="68"/>
      <c r="NY7" s="68"/>
      <c r="NZ7" s="68"/>
      <c r="OA7" s="68"/>
      <c r="OB7" s="68"/>
      <c r="OC7" s="68"/>
      <c r="OD7" s="68"/>
      <c r="OE7" s="68"/>
      <c r="OF7" s="68"/>
      <c r="OG7" s="68"/>
      <c r="OH7" s="68"/>
      <c r="OI7" s="68"/>
      <c r="OJ7" s="68"/>
      <c r="OK7" s="68"/>
      <c r="OL7" s="68"/>
      <c r="OM7" s="68"/>
      <c r="ON7" s="68"/>
      <c r="OO7" s="68"/>
      <c r="OP7" s="68"/>
      <c r="OQ7" s="68"/>
      <c r="OR7" s="68"/>
      <c r="OS7" s="68"/>
      <c r="OT7" s="68"/>
      <c r="OU7" s="68"/>
      <c r="OV7" s="68"/>
      <c r="OW7" s="68"/>
      <c r="OX7" s="68"/>
      <c r="OY7" s="68"/>
      <c r="OZ7" s="68"/>
      <c r="PA7" s="68"/>
      <c r="PB7" s="68"/>
      <c r="PC7" s="68"/>
      <c r="PD7" s="68"/>
      <c r="PE7" s="68"/>
      <c r="PF7" s="68"/>
      <c r="PG7" s="68"/>
      <c r="PH7" s="68"/>
      <c r="PI7" s="68"/>
      <c r="PJ7" s="68"/>
      <c r="PK7" s="68"/>
      <c r="PL7" s="68"/>
      <c r="PM7" s="68"/>
      <c r="PN7" s="68"/>
      <c r="PO7" s="68"/>
      <c r="PP7" s="68"/>
      <c r="PQ7" s="68"/>
      <c r="PR7" s="68"/>
      <c r="PS7" s="68"/>
      <c r="PT7" s="68"/>
      <c r="PU7" s="68"/>
      <c r="PV7" s="68"/>
      <c r="PW7" s="68"/>
      <c r="PX7" s="68"/>
      <c r="PY7" s="68"/>
      <c r="PZ7" s="68"/>
      <c r="QA7" s="68"/>
      <c r="QB7" s="68"/>
      <c r="QC7" s="68"/>
      <c r="QD7" s="68"/>
      <c r="QE7" s="68"/>
      <c r="QF7" s="68"/>
      <c r="QG7" s="68"/>
      <c r="QH7" s="68"/>
      <c r="QI7" s="68"/>
      <c r="QJ7" s="68"/>
      <c r="QK7" s="68"/>
      <c r="QL7" s="68"/>
      <c r="QM7" s="68"/>
      <c r="QN7" s="68"/>
      <c r="QO7" s="68"/>
      <c r="QP7" s="68"/>
      <c r="QQ7" s="68"/>
      <c r="QR7" s="68"/>
      <c r="QS7" s="68"/>
      <c r="QT7" s="68"/>
      <c r="QU7" s="68"/>
      <c r="QV7" s="68"/>
      <c r="QW7" s="68"/>
      <c r="QX7" s="68"/>
      <c r="QY7" s="68"/>
      <c r="QZ7" s="68"/>
      <c r="RA7" s="68"/>
      <c r="RB7" s="68"/>
      <c r="RC7" s="68"/>
      <c r="RD7" s="68"/>
      <c r="RE7" s="68"/>
      <c r="RF7" s="68"/>
      <c r="RG7" s="68"/>
      <c r="RH7" s="68"/>
      <c r="RI7" s="68"/>
      <c r="RJ7" s="68"/>
      <c r="RK7" s="68"/>
      <c r="RL7" s="68"/>
      <c r="RM7" s="68"/>
      <c r="RN7" s="68"/>
      <c r="RO7" s="68"/>
      <c r="RP7" s="68"/>
      <c r="RQ7" s="68"/>
      <c r="RR7" s="68"/>
      <c r="RS7" s="68"/>
      <c r="RT7" s="68"/>
      <c r="RU7" s="68"/>
      <c r="RV7" s="68"/>
      <c r="RW7" s="68"/>
      <c r="RX7" s="68"/>
      <c r="RY7" s="68"/>
      <c r="RZ7" s="68"/>
      <c r="SA7" s="68"/>
      <c r="SB7" s="68"/>
      <c r="SC7" s="68"/>
      <c r="SD7" s="68"/>
      <c r="SE7" s="68"/>
      <c r="SF7" s="68"/>
    </row>
    <row r="8" spans="1:500" s="64" customFormat="1" x14ac:dyDescent="0.25">
      <c r="A8" s="65">
        <v>7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G8" s="67"/>
      <c r="CH8" s="67"/>
      <c r="CI8" s="67"/>
      <c r="CJ8" s="67"/>
      <c r="CK8" s="67"/>
      <c r="CL8" s="67"/>
      <c r="CM8" s="67"/>
      <c r="CN8" s="67"/>
      <c r="CO8" s="67"/>
      <c r="CP8" s="67"/>
      <c r="CQ8" s="67"/>
      <c r="CR8" s="67"/>
      <c r="CS8" s="67"/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7"/>
      <c r="EM8" s="67"/>
      <c r="EN8" s="67"/>
      <c r="EO8" s="67"/>
      <c r="EP8" s="67"/>
      <c r="EQ8" s="67"/>
      <c r="ER8" s="67"/>
      <c r="ES8" s="67"/>
      <c r="ET8" s="67"/>
      <c r="EU8" s="67"/>
      <c r="EV8" s="67"/>
      <c r="EW8" s="67"/>
      <c r="EX8" s="67"/>
      <c r="EY8" s="67"/>
      <c r="EZ8" s="67"/>
      <c r="FA8" s="67"/>
      <c r="FB8" s="67"/>
      <c r="FC8" s="67"/>
      <c r="FD8" s="67"/>
      <c r="FE8" s="67"/>
      <c r="FF8" s="67"/>
      <c r="FG8" s="67"/>
      <c r="FH8" s="67"/>
      <c r="FI8" s="67"/>
      <c r="FJ8" s="67"/>
      <c r="FK8" s="67"/>
      <c r="FL8" s="67"/>
      <c r="FM8" s="67"/>
      <c r="FN8" s="67"/>
      <c r="FO8" s="67"/>
      <c r="FP8" s="67"/>
      <c r="FQ8" s="67"/>
      <c r="FR8" s="67"/>
      <c r="FS8" s="67"/>
      <c r="FT8" s="67"/>
      <c r="FU8" s="67"/>
      <c r="FV8" s="67"/>
      <c r="FW8" s="67"/>
      <c r="FX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8"/>
      <c r="HB8" s="68"/>
      <c r="HC8" s="68"/>
      <c r="HD8" s="68"/>
      <c r="HE8" s="68"/>
      <c r="HF8" s="68"/>
      <c r="HG8" s="68"/>
      <c r="HH8" s="68"/>
      <c r="HI8" s="68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</row>
    <row r="9" spans="1:500" s="64" customFormat="1" x14ac:dyDescent="0.25">
      <c r="A9" s="65">
        <v>8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</row>
    <row r="10" spans="1:500" s="64" customFormat="1" x14ac:dyDescent="0.25">
      <c r="A10" s="65">
        <v>9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G10" s="67"/>
      <c r="CH10" s="67"/>
      <c r="CI10" s="67"/>
      <c r="CJ10" s="67"/>
      <c r="CK10" s="67"/>
      <c r="CL10" s="67"/>
      <c r="CM10" s="67"/>
      <c r="CN10" s="67"/>
      <c r="CO10" s="67"/>
      <c r="CP10" s="67"/>
      <c r="CQ10" s="67"/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7"/>
      <c r="DG10" s="67"/>
      <c r="DH10" s="67"/>
      <c r="DI10" s="67"/>
      <c r="DJ10" s="67"/>
      <c r="DK10" s="67"/>
      <c r="DL10" s="67"/>
      <c r="DM10" s="67"/>
      <c r="DN10" s="67"/>
      <c r="DO10" s="67"/>
      <c r="DP10" s="67"/>
      <c r="DQ10" s="67"/>
      <c r="DR10" s="67"/>
      <c r="DS10" s="67"/>
      <c r="DT10" s="67"/>
      <c r="DU10" s="67"/>
      <c r="DV10" s="67"/>
      <c r="DW10" s="67"/>
      <c r="DX10" s="67"/>
      <c r="DY10" s="67"/>
      <c r="DZ10" s="67"/>
      <c r="EA10" s="67"/>
      <c r="EB10" s="67"/>
      <c r="EC10" s="67"/>
      <c r="ED10" s="67"/>
      <c r="EE10" s="67"/>
      <c r="EF10" s="67"/>
      <c r="EG10" s="67"/>
      <c r="EH10" s="67"/>
      <c r="EI10" s="67"/>
      <c r="EJ10" s="67"/>
      <c r="EK10" s="67"/>
      <c r="EL10" s="67"/>
      <c r="EM10" s="67"/>
      <c r="EN10" s="67"/>
      <c r="EO10" s="67"/>
      <c r="EP10" s="67"/>
      <c r="EQ10" s="67"/>
      <c r="ER10" s="67"/>
      <c r="ES10" s="67"/>
      <c r="ET10" s="67"/>
      <c r="EU10" s="67"/>
      <c r="EV10" s="67"/>
      <c r="EW10" s="67"/>
      <c r="EX10" s="67"/>
      <c r="EY10" s="67"/>
      <c r="EZ10" s="67"/>
      <c r="FA10" s="67"/>
      <c r="FB10" s="67"/>
      <c r="FC10" s="67"/>
      <c r="FD10" s="67"/>
      <c r="FE10" s="67"/>
      <c r="FF10" s="67"/>
      <c r="FG10" s="67"/>
      <c r="FH10" s="67"/>
      <c r="FI10" s="67"/>
      <c r="FJ10" s="67"/>
      <c r="FK10" s="67"/>
      <c r="FL10" s="67"/>
      <c r="FM10" s="67"/>
      <c r="FN10" s="67"/>
      <c r="FO10" s="67"/>
      <c r="FP10" s="67"/>
      <c r="FQ10" s="67"/>
      <c r="FR10" s="67"/>
      <c r="FS10" s="67"/>
      <c r="FT10" s="67"/>
      <c r="FU10" s="67"/>
      <c r="FV10" s="67"/>
      <c r="FW10" s="67"/>
      <c r="FX10" s="67"/>
      <c r="FY10" s="67"/>
      <c r="FZ10" s="67"/>
      <c r="GA10" s="67"/>
      <c r="GB10" s="67"/>
      <c r="GC10" s="67"/>
      <c r="GD10" s="67"/>
      <c r="GE10" s="67"/>
      <c r="GF10" s="67"/>
      <c r="GG10" s="67"/>
      <c r="GH10" s="67"/>
      <c r="GI10" s="67"/>
      <c r="GJ10" s="67"/>
      <c r="GK10" s="67"/>
      <c r="GL10" s="67"/>
      <c r="GM10" s="67"/>
      <c r="GN10" s="67"/>
      <c r="GO10" s="67"/>
      <c r="GP10" s="67"/>
      <c r="GQ10" s="67"/>
      <c r="GR10" s="67"/>
      <c r="GS10" s="67"/>
      <c r="GT10" s="67"/>
      <c r="GU10" s="67"/>
      <c r="GV10" s="67"/>
      <c r="GW10" s="67"/>
      <c r="GX10" s="67"/>
      <c r="GY10" s="67"/>
      <c r="GZ10" s="67"/>
      <c r="HA10" s="67"/>
      <c r="HB10" s="67"/>
      <c r="HC10" s="67"/>
      <c r="HD10" s="67"/>
      <c r="HE10" s="67"/>
      <c r="HF10" s="67"/>
      <c r="HG10" s="67"/>
      <c r="HH10" s="67"/>
      <c r="HI10" s="67"/>
      <c r="HJ10" s="67"/>
      <c r="HK10" s="67"/>
      <c r="HL10" s="67"/>
      <c r="HM10" s="67"/>
      <c r="HN10" s="67"/>
      <c r="HO10" s="67"/>
      <c r="HP10" s="67"/>
      <c r="HQ10" s="67"/>
      <c r="HR10" s="67"/>
      <c r="HS10" s="67"/>
      <c r="HT10" s="67"/>
      <c r="HU10" s="67"/>
      <c r="HV10" s="67"/>
      <c r="HW10" s="67"/>
      <c r="HX10" s="67"/>
      <c r="HY10" s="67"/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  <c r="JR10" s="67"/>
      <c r="JS10" s="67"/>
      <c r="JT10" s="67"/>
      <c r="JU10" s="67"/>
      <c r="JV10" s="67"/>
      <c r="JW10" s="67"/>
      <c r="JX10" s="67"/>
      <c r="JY10" s="67"/>
      <c r="JZ10" s="67"/>
      <c r="KA10" s="67"/>
      <c r="KB10" s="67"/>
      <c r="KC10" s="67"/>
      <c r="KD10" s="67"/>
      <c r="KE10" s="67"/>
      <c r="KF10" s="67"/>
      <c r="KG10" s="67"/>
      <c r="KH10" s="67"/>
      <c r="KI10" s="67"/>
      <c r="KJ10" s="67"/>
      <c r="KK10" s="67"/>
      <c r="KL10" s="67"/>
      <c r="KM10" s="67"/>
      <c r="KN10" s="67"/>
      <c r="KO10" s="67"/>
      <c r="KP10" s="67"/>
      <c r="KQ10" s="67"/>
      <c r="KR10" s="67"/>
      <c r="KS10" s="67"/>
      <c r="KT10" s="67"/>
      <c r="KU10" s="67"/>
      <c r="KV10" s="67"/>
      <c r="KW10" s="67"/>
      <c r="KX10" s="67"/>
      <c r="KY10" s="67"/>
      <c r="KZ10" s="67"/>
      <c r="LA10" s="67"/>
      <c r="LB10" s="67"/>
      <c r="LC10" s="67"/>
      <c r="LD10" s="67"/>
      <c r="LE10" s="67"/>
      <c r="LF10" s="67"/>
      <c r="LG10" s="67"/>
      <c r="LH10" s="67"/>
      <c r="LI10" s="67"/>
      <c r="LJ10" s="67"/>
      <c r="LK10" s="67"/>
      <c r="LL10" s="67"/>
      <c r="LM10" s="67"/>
      <c r="LN10" s="67"/>
      <c r="LO10" s="67"/>
      <c r="LP10" s="67"/>
      <c r="LQ10" s="67"/>
      <c r="LR10" s="67"/>
      <c r="LS10" s="67"/>
      <c r="LT10" s="67"/>
      <c r="LU10" s="67"/>
      <c r="LV10" s="67"/>
      <c r="LW10" s="67"/>
      <c r="LX10" s="67"/>
      <c r="LY10" s="67"/>
      <c r="LZ10" s="67"/>
      <c r="MA10" s="67"/>
      <c r="MB10" s="67"/>
      <c r="MC10" s="67"/>
      <c r="MD10" s="67"/>
      <c r="ME10" s="67"/>
      <c r="MF10" s="67"/>
      <c r="MG10" s="67"/>
      <c r="MH10" s="67"/>
      <c r="MI10" s="67"/>
      <c r="MJ10" s="67"/>
      <c r="MK10" s="67"/>
      <c r="ML10" s="67"/>
      <c r="MM10" s="67"/>
      <c r="MN10" s="67"/>
      <c r="MO10" s="67"/>
      <c r="MP10" s="67"/>
      <c r="MQ10" s="67"/>
      <c r="MR10" s="67"/>
      <c r="MS10" s="67"/>
      <c r="MT10" s="67"/>
      <c r="MU10" s="67"/>
      <c r="MV10" s="67"/>
      <c r="MW10" s="67"/>
      <c r="MX10" s="67"/>
      <c r="MY10" s="67"/>
      <c r="MZ10" s="67"/>
      <c r="NA10" s="67"/>
      <c r="NB10" s="67"/>
      <c r="NC10" s="67"/>
      <c r="ND10" s="67"/>
      <c r="NE10" s="67"/>
      <c r="NF10" s="67"/>
      <c r="NG10" s="67"/>
      <c r="NH10" s="67"/>
      <c r="NI10" s="67"/>
      <c r="NJ10" s="67"/>
      <c r="NK10" s="67"/>
      <c r="NL10" s="67"/>
      <c r="NM10" s="67"/>
      <c r="NN10" s="67"/>
      <c r="NO10" s="67"/>
      <c r="NP10" s="67"/>
      <c r="NQ10" s="67"/>
      <c r="NR10" s="67"/>
      <c r="NS10" s="67"/>
      <c r="NT10" s="67"/>
      <c r="NU10" s="67"/>
      <c r="NV10" s="67"/>
      <c r="NW10" s="67"/>
      <c r="NX10" s="67"/>
      <c r="NY10" s="67"/>
      <c r="NZ10" s="67"/>
      <c r="OA10" s="67"/>
      <c r="OB10" s="67"/>
      <c r="OC10" s="67"/>
      <c r="OD10" s="67"/>
      <c r="OE10" s="67"/>
      <c r="OF10" s="67"/>
      <c r="OG10" s="67"/>
      <c r="OH10" s="67"/>
      <c r="OI10" s="67"/>
      <c r="OJ10" s="67"/>
      <c r="OK10" s="67"/>
      <c r="OL10" s="67"/>
      <c r="OM10" s="67"/>
      <c r="ON10" s="67"/>
      <c r="OO10" s="67"/>
      <c r="OP10" s="67"/>
      <c r="OQ10" s="67"/>
      <c r="OR10" s="67"/>
      <c r="OS10" s="67"/>
      <c r="OT10" s="67"/>
      <c r="OU10" s="67"/>
      <c r="OV10" s="67"/>
      <c r="OW10" s="67"/>
      <c r="OX10" s="67"/>
      <c r="OY10" s="67"/>
      <c r="OZ10" s="67"/>
      <c r="PA10" s="67"/>
      <c r="PB10" s="67"/>
      <c r="PC10" s="67"/>
      <c r="PD10" s="67"/>
      <c r="PE10" s="68"/>
      <c r="PF10" s="68"/>
      <c r="PG10" s="68"/>
      <c r="PH10" s="68"/>
      <c r="PI10" s="68"/>
      <c r="PJ10" s="68"/>
      <c r="PK10" s="68"/>
      <c r="PL10" s="68"/>
      <c r="PM10" s="68"/>
      <c r="PN10" s="68"/>
      <c r="PO10" s="68"/>
      <c r="PP10" s="68"/>
      <c r="PQ10" s="68"/>
      <c r="PR10" s="68"/>
      <c r="PS10" s="68"/>
      <c r="PT10" s="68"/>
      <c r="PU10" s="68"/>
      <c r="PV10" s="68"/>
      <c r="PW10" s="68"/>
      <c r="PX10" s="68"/>
      <c r="PY10" s="68"/>
      <c r="PZ10" s="68"/>
      <c r="QA10" s="68"/>
      <c r="QB10" s="68"/>
      <c r="QC10" s="68"/>
      <c r="QD10" s="68"/>
      <c r="QE10" s="68"/>
      <c r="QF10" s="68"/>
      <c r="QG10" s="68"/>
      <c r="QH10" s="68"/>
      <c r="QI10" s="68"/>
      <c r="QJ10" s="68"/>
      <c r="QK10" s="68"/>
      <c r="QL10" s="68"/>
      <c r="QM10" s="68"/>
      <c r="QN10" s="68"/>
      <c r="QO10" s="68"/>
      <c r="QP10" s="68"/>
      <c r="QQ10" s="68"/>
      <c r="QR10" s="68"/>
      <c r="QS10" s="68"/>
      <c r="QT10" s="68"/>
      <c r="QU10" s="68"/>
      <c r="QV10" s="68"/>
      <c r="QW10" s="68"/>
      <c r="QX10" s="68"/>
      <c r="QY10" s="68"/>
      <c r="QZ10" s="68"/>
      <c r="RA10" s="68"/>
      <c r="RB10" s="68"/>
      <c r="RC10" s="68"/>
      <c r="RD10" s="68"/>
      <c r="RE10" s="68"/>
      <c r="RF10" s="68"/>
      <c r="RG10" s="68"/>
      <c r="RH10" s="68"/>
      <c r="RI10" s="68"/>
      <c r="RJ10" s="68"/>
      <c r="RK10" s="68"/>
      <c r="RL10" s="68"/>
      <c r="RM10" s="68"/>
      <c r="RN10" s="68"/>
      <c r="RO10" s="68"/>
      <c r="RP10" s="68"/>
      <c r="RQ10" s="68"/>
      <c r="RR10" s="68"/>
      <c r="RS10" s="68"/>
      <c r="RT10" s="68"/>
      <c r="RU10" s="68"/>
      <c r="RV10" s="68"/>
      <c r="RW10" s="68"/>
      <c r="RX10" s="68"/>
      <c r="RY10" s="68"/>
      <c r="RZ10" s="68"/>
      <c r="SA10" s="68"/>
      <c r="SB10" s="68"/>
      <c r="SC10" s="68"/>
      <c r="SD10" s="68"/>
      <c r="SE10" s="68"/>
      <c r="SF10" s="68"/>
    </row>
    <row r="11" spans="1:500" s="64" customFormat="1" x14ac:dyDescent="0.25">
      <c r="A11" s="65">
        <v>10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67"/>
      <c r="BU11" s="67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8"/>
      <c r="CG11" s="68"/>
      <c r="CH11" s="68"/>
      <c r="CI11" s="68"/>
      <c r="CJ11" s="68"/>
      <c r="CK11" s="68"/>
      <c r="CL11" s="68"/>
      <c r="CM11" s="68"/>
      <c r="CN11" s="68"/>
      <c r="CO11" s="68"/>
      <c r="CP11" s="68"/>
      <c r="CQ11" s="68"/>
      <c r="CR11" s="68"/>
      <c r="CS11" s="68"/>
      <c r="CT11" s="68"/>
      <c r="CU11" s="68"/>
      <c r="CV11" s="68"/>
      <c r="CW11" s="68"/>
      <c r="CX11" s="68"/>
      <c r="CY11" s="68"/>
      <c r="CZ11" s="68"/>
      <c r="DA11" s="68"/>
      <c r="DB11" s="68"/>
      <c r="DC11" s="68"/>
      <c r="DD11" s="68"/>
      <c r="DE11" s="68"/>
      <c r="DF11" s="68"/>
      <c r="DG11" s="68"/>
      <c r="DH11" s="68"/>
      <c r="DI11" s="68"/>
      <c r="DJ11" s="68"/>
      <c r="DK11" s="68"/>
      <c r="DL11" s="68"/>
      <c r="DM11" s="68"/>
      <c r="DN11" s="68"/>
      <c r="DO11" s="68"/>
      <c r="DP11" s="68"/>
      <c r="DQ11" s="68"/>
      <c r="DR11" s="68"/>
      <c r="DS11" s="68"/>
      <c r="DT11" s="68"/>
      <c r="DU11" s="68"/>
      <c r="DV11" s="68"/>
      <c r="DW11" s="68"/>
      <c r="DX11" s="68"/>
      <c r="DY11" s="68"/>
      <c r="DZ11" s="68"/>
      <c r="EA11" s="68"/>
      <c r="EB11" s="68"/>
      <c r="EC11" s="68"/>
      <c r="ED11" s="68"/>
      <c r="EE11" s="68"/>
      <c r="EF11" s="68"/>
      <c r="EG11" s="68"/>
      <c r="EH11" s="68"/>
      <c r="EI11" s="68"/>
      <c r="EJ11" s="68"/>
      <c r="EK11" s="68"/>
      <c r="EL11" s="68"/>
      <c r="EM11" s="68"/>
      <c r="EN11" s="68"/>
      <c r="EO11" s="68"/>
      <c r="EP11" s="68"/>
      <c r="EQ11" s="68"/>
      <c r="ER11" s="68"/>
      <c r="ES11" s="68"/>
      <c r="ET11" s="68"/>
    </row>
    <row r="12" spans="1:500" s="64" customFormat="1" x14ac:dyDescent="0.25">
      <c r="A12" s="65"/>
    </row>
    <row r="13" spans="1:500" s="64" customFormat="1" x14ac:dyDescent="0.25">
      <c r="A13" s="65"/>
    </row>
    <row r="14" spans="1:500" s="64" customFormat="1" x14ac:dyDescent="0.25">
      <c r="A14" s="65"/>
    </row>
    <row r="15" spans="1:500" s="64" customFormat="1" x14ac:dyDescent="0.25">
      <c r="A15" s="65"/>
    </row>
    <row r="16" spans="1:500" s="64" customFormat="1" x14ac:dyDescent="0.25">
      <c r="A16" s="65"/>
    </row>
    <row r="17" spans="1:1" s="64" customFormat="1" x14ac:dyDescent="0.25">
      <c r="A17" s="65"/>
    </row>
    <row r="18" spans="1:1" s="64" customFormat="1" x14ac:dyDescent="0.25">
      <c r="A18" s="65"/>
    </row>
    <row r="19" spans="1:1" s="64" customFormat="1" x14ac:dyDescent="0.25">
      <c r="A19" s="65"/>
    </row>
    <row r="20" spans="1:1" s="64" customFormat="1" x14ac:dyDescent="0.25">
      <c r="A20" s="65"/>
    </row>
    <row r="21" spans="1:1" s="64" customFormat="1" x14ac:dyDescent="0.25">
      <c r="A21" s="65"/>
    </row>
    <row r="22" spans="1:1" s="64" customFormat="1" x14ac:dyDescent="0.25">
      <c r="A22" s="65"/>
    </row>
    <row r="23" spans="1:1" s="64" customFormat="1" x14ac:dyDescent="0.25">
      <c r="A23" s="65"/>
    </row>
    <row r="24" spans="1:1" s="64" customFormat="1" x14ac:dyDescent="0.25">
      <c r="A24" s="65"/>
    </row>
    <row r="25" spans="1:1" s="64" customFormat="1" x14ac:dyDescent="0.25">
      <c r="A25" s="65"/>
    </row>
    <row r="26" spans="1:1" s="64" customFormat="1" x14ac:dyDescent="0.25">
      <c r="A26" s="65"/>
    </row>
    <row r="27" spans="1:1" s="64" customFormat="1" x14ac:dyDescent="0.25">
      <c r="A27" s="65"/>
    </row>
    <row r="28" spans="1:1" s="64" customFormat="1" x14ac:dyDescent="0.25">
      <c r="A28" s="65"/>
    </row>
    <row r="29" spans="1:1" s="64" customFormat="1" x14ac:dyDescent="0.25">
      <c r="A29" s="65"/>
    </row>
    <row r="30" spans="1:1" s="64" customFormat="1" x14ac:dyDescent="0.25">
      <c r="A30" s="65"/>
    </row>
    <row r="31" spans="1:1" s="64" customFormat="1" x14ac:dyDescent="0.25">
      <c r="A31" s="65"/>
    </row>
    <row r="32" spans="1:1" s="64" customFormat="1" x14ac:dyDescent="0.25">
      <c r="A32" s="65"/>
    </row>
    <row r="33" spans="1:820" s="64" customFormat="1" x14ac:dyDescent="0.25">
      <c r="A33" s="65"/>
    </row>
    <row r="34" spans="1:820" s="64" customFormat="1" x14ac:dyDescent="0.25">
      <c r="A34" s="65"/>
    </row>
    <row r="35" spans="1:820" s="64" customFormat="1" x14ac:dyDescent="0.25">
      <c r="A35" s="65"/>
    </row>
    <row r="36" spans="1:820" s="64" customFormat="1" x14ac:dyDescent="0.25">
      <c r="A36" s="65"/>
    </row>
    <row r="37" spans="1:820" s="64" customFormat="1" x14ac:dyDescent="0.25">
      <c r="A37" s="65"/>
    </row>
    <row r="38" spans="1:820" s="64" customFormat="1" x14ac:dyDescent="0.25">
      <c r="A38" s="65"/>
    </row>
    <row r="39" spans="1:820" s="64" customFormat="1" x14ac:dyDescent="0.25">
      <c r="A39" s="65"/>
    </row>
    <row r="40" spans="1:820" s="64" customFormat="1" x14ac:dyDescent="0.25">
      <c r="A40" s="65"/>
    </row>
    <row r="41" spans="1:820" s="64" customFormat="1" x14ac:dyDescent="0.25">
      <c r="A41" s="65"/>
    </row>
    <row r="42" spans="1:820" s="64" customFormat="1" x14ac:dyDescent="0.25">
      <c r="A42" s="65"/>
    </row>
    <row r="43" spans="1:820" s="64" customFormat="1" x14ac:dyDescent="0.25">
      <c r="A43" s="65"/>
    </row>
    <row r="44" spans="1:820" x14ac:dyDescent="0.25">
      <c r="LR44" s="46"/>
      <c r="LS44" s="46"/>
      <c r="LT44" s="46"/>
      <c r="LU44" s="46"/>
      <c r="LV44" s="46"/>
      <c r="LW44" s="46"/>
      <c r="LX44" s="46"/>
      <c r="LY44" s="46"/>
      <c r="LZ44" s="46"/>
      <c r="MA44" s="46"/>
      <c r="MB44" s="46"/>
      <c r="MC44" s="46"/>
      <c r="MD44" s="46"/>
      <c r="ME44" s="46"/>
      <c r="MF44" s="46"/>
      <c r="MG44" s="46"/>
      <c r="MH44" s="46"/>
      <c r="MI44" s="46"/>
      <c r="MJ44" s="46"/>
      <c r="MK44" s="46"/>
      <c r="ML44" s="46"/>
      <c r="MM44" s="46"/>
      <c r="MN44" s="46"/>
      <c r="MO44" s="46"/>
      <c r="MP44" s="46"/>
      <c r="MQ44" s="46"/>
      <c r="MR44" s="46"/>
      <c r="MS44" s="46"/>
      <c r="MT44" s="46"/>
      <c r="MU44" s="46"/>
      <c r="MV44" s="46"/>
      <c r="MW44" s="46"/>
      <c r="MX44" s="46"/>
      <c r="MY44" s="46"/>
      <c r="MZ44" s="46"/>
      <c r="NA44" s="46"/>
      <c r="NB44" s="46"/>
      <c r="NC44" s="46"/>
      <c r="ND44" s="46"/>
      <c r="NE44" s="46"/>
      <c r="NF44" s="46"/>
      <c r="NG44" s="46"/>
      <c r="NH44" s="46"/>
      <c r="NI44" s="46"/>
      <c r="NJ44" s="46"/>
      <c r="NK44" s="46"/>
      <c r="NL44" s="46"/>
      <c r="NM44" s="46"/>
      <c r="NN44" s="46"/>
      <c r="NO44" s="46"/>
      <c r="NP44" s="46"/>
      <c r="NQ44" s="46"/>
      <c r="NR44" s="46"/>
      <c r="NS44" s="46"/>
      <c r="NT44" s="46"/>
      <c r="NU44" s="46"/>
      <c r="NV44" s="46"/>
      <c r="NW44" s="46"/>
      <c r="NX44" s="46"/>
      <c r="NY44" s="46"/>
      <c r="NZ44" s="46"/>
      <c r="OA44" s="46"/>
      <c r="OB44" s="46"/>
      <c r="OC44" s="46"/>
      <c r="OD44" s="46"/>
      <c r="OE44" s="46"/>
      <c r="OF44" s="46"/>
      <c r="OG44" s="46"/>
      <c r="OH44" s="46"/>
      <c r="OI44" s="46"/>
      <c r="OJ44" s="46"/>
      <c r="OK44" s="46"/>
      <c r="OL44" s="46"/>
      <c r="OM44" s="46"/>
      <c r="ON44" s="46"/>
      <c r="OO44" s="46"/>
      <c r="OP44" s="46"/>
      <c r="OQ44" s="46"/>
      <c r="OR44" s="46"/>
      <c r="OS44" s="46"/>
      <c r="OT44" s="46"/>
      <c r="OU44" s="46"/>
      <c r="OV44" s="46"/>
      <c r="OW44" s="46"/>
      <c r="OX44" s="46"/>
      <c r="OY44" s="46"/>
      <c r="OZ44" s="46"/>
      <c r="PA44" s="46"/>
      <c r="PB44" s="46"/>
      <c r="PC44" s="46"/>
      <c r="PD44" s="46"/>
      <c r="PE44" s="46"/>
      <c r="PF44" s="46"/>
      <c r="PG44" s="46"/>
      <c r="PH44" s="46"/>
      <c r="PI44" s="46"/>
      <c r="PJ44" s="46"/>
      <c r="PK44" s="46"/>
      <c r="PL44" s="46"/>
      <c r="PM44" s="46"/>
      <c r="PN44" s="46"/>
      <c r="PO44" s="46"/>
      <c r="PP44" s="46"/>
      <c r="PQ44" s="46"/>
      <c r="PR44" s="46"/>
      <c r="PS44" s="46"/>
      <c r="PT44" s="46"/>
      <c r="PU44" s="46"/>
      <c r="PV44" s="46"/>
      <c r="PW44" s="46"/>
      <c r="PX44" s="46"/>
      <c r="PY44" s="46"/>
      <c r="PZ44" s="46"/>
      <c r="QA44" s="46"/>
      <c r="QB44" s="46"/>
      <c r="QC44" s="46"/>
      <c r="QD44" s="46"/>
      <c r="QE44" s="46"/>
      <c r="QF44" s="46"/>
      <c r="QG44" s="46"/>
      <c r="QH44" s="46"/>
      <c r="QI44" s="46"/>
      <c r="QJ44" s="46"/>
      <c r="QK44" s="46"/>
      <c r="QL44" s="46"/>
      <c r="QM44" s="46"/>
      <c r="QN44" s="46"/>
      <c r="QO44" s="46"/>
      <c r="QP44" s="46"/>
      <c r="QQ44" s="46"/>
      <c r="QR44" s="46"/>
      <c r="QS44" s="46"/>
      <c r="QT44" s="46"/>
      <c r="QU44" s="46"/>
      <c r="QV44" s="46"/>
      <c r="QW44" s="46"/>
      <c r="QX44" s="46"/>
      <c r="QY44" s="46"/>
      <c r="QZ44" s="46"/>
      <c r="RA44" s="46"/>
      <c r="RB44" s="46"/>
      <c r="RC44" s="46"/>
      <c r="RD44" s="46"/>
      <c r="RE44" s="46"/>
      <c r="RF44" s="46"/>
      <c r="RG44" s="46"/>
      <c r="RH44" s="46"/>
      <c r="RI44" s="46"/>
      <c r="RJ44" s="46"/>
      <c r="RK44" s="46"/>
      <c r="RL44" s="46"/>
      <c r="RM44" s="46"/>
      <c r="RN44" s="46"/>
      <c r="RO44" s="46"/>
      <c r="RP44" s="46"/>
      <c r="RQ44" s="46"/>
      <c r="RR44" s="46"/>
      <c r="RS44" s="46"/>
      <c r="RT44" s="46"/>
      <c r="RU44" s="46"/>
      <c r="RV44" s="46"/>
      <c r="RW44" s="46"/>
      <c r="RX44" s="46"/>
      <c r="RY44" s="46"/>
      <c r="RZ44" s="46"/>
      <c r="SA44" s="46"/>
      <c r="SB44" s="46"/>
      <c r="SC44" s="46"/>
      <c r="SD44" s="46"/>
      <c r="SE44" s="46"/>
      <c r="SF44" s="46"/>
      <c r="SG44" s="46"/>
      <c r="SH44" s="46"/>
      <c r="SI44" s="46"/>
      <c r="SJ44" s="46"/>
      <c r="SK44" s="46"/>
      <c r="SL44" s="46"/>
      <c r="SM44" s="46"/>
      <c r="SN44" s="46"/>
      <c r="SO44" s="46"/>
      <c r="SP44" s="46"/>
      <c r="SQ44" s="46"/>
      <c r="SR44" s="46"/>
      <c r="SS44" s="46"/>
      <c r="ST44" s="46"/>
      <c r="SU44" s="46"/>
      <c r="SV44" s="46"/>
      <c r="SW44" s="46"/>
      <c r="SX44" s="46"/>
      <c r="SY44" s="46"/>
      <c r="SZ44" s="46"/>
      <c r="TA44" s="46"/>
      <c r="TB44" s="46"/>
      <c r="TC44" s="46"/>
      <c r="TD44" s="46"/>
      <c r="TE44" s="46"/>
      <c r="TF44" s="46"/>
      <c r="TG44" s="46"/>
      <c r="TH44" s="46"/>
      <c r="TI44" s="46"/>
      <c r="TJ44" s="46"/>
      <c r="TK44" s="46"/>
      <c r="TL44" s="46"/>
      <c r="TM44" s="46"/>
      <c r="TN44" s="46"/>
      <c r="TO44" s="46"/>
      <c r="TP44" s="46"/>
      <c r="TQ44" s="46"/>
      <c r="TR44" s="46"/>
      <c r="TS44" s="46"/>
      <c r="TT44" s="46"/>
      <c r="TU44" s="46"/>
      <c r="TV44" s="46"/>
      <c r="TW44" s="46"/>
      <c r="TX44" s="46"/>
      <c r="TY44" s="46"/>
      <c r="TZ44" s="46"/>
      <c r="UA44" s="46"/>
      <c r="UB44" s="46"/>
      <c r="UC44" s="46"/>
      <c r="UD44" s="46"/>
      <c r="UE44" s="46"/>
      <c r="UF44" s="46"/>
      <c r="UG44" s="46"/>
      <c r="UH44" s="46"/>
      <c r="UI44" s="46"/>
      <c r="UJ44" s="46"/>
      <c r="UK44" s="46"/>
      <c r="UL44" s="46"/>
      <c r="UM44" s="46"/>
      <c r="UN44" s="46"/>
      <c r="UO44" s="46"/>
      <c r="UP44" s="46"/>
      <c r="UQ44" s="46"/>
      <c r="UR44" s="46"/>
      <c r="US44" s="46"/>
      <c r="UT44" s="46"/>
      <c r="UU44" s="46"/>
      <c r="UV44" s="46"/>
      <c r="UW44" s="46"/>
      <c r="UX44" s="46"/>
      <c r="UY44" s="46"/>
      <c r="UZ44" s="46"/>
      <c r="VA44" s="46"/>
      <c r="VB44" s="46"/>
      <c r="VC44" s="46"/>
      <c r="VD44" s="46"/>
      <c r="VE44" s="46"/>
      <c r="VF44" s="46"/>
      <c r="VG44" s="46"/>
      <c r="VH44" s="46"/>
      <c r="VI44" s="46"/>
      <c r="VJ44" s="46"/>
      <c r="VK44" s="46"/>
      <c r="VL44" s="46"/>
      <c r="VM44" s="46"/>
      <c r="VN44" s="46"/>
      <c r="VO44" s="46"/>
      <c r="VP44" s="46"/>
      <c r="VQ44" s="46"/>
      <c r="VR44" s="46"/>
      <c r="VS44" s="46"/>
      <c r="VT44" s="46"/>
      <c r="VU44" s="46"/>
      <c r="VV44" s="46"/>
      <c r="VW44" s="46"/>
      <c r="VX44" s="46"/>
      <c r="VY44" s="46"/>
      <c r="VZ44" s="46"/>
      <c r="WA44" s="46"/>
      <c r="WB44" s="46"/>
      <c r="WC44" s="46"/>
      <c r="WD44" s="46"/>
      <c r="WE44" s="46"/>
      <c r="WF44" s="46"/>
      <c r="WG44" s="46"/>
      <c r="WH44" s="46"/>
      <c r="WI44" s="46"/>
      <c r="WJ44" s="46"/>
      <c r="WK44" s="46"/>
      <c r="WL44" s="46"/>
      <c r="WM44" s="46"/>
      <c r="WN44" s="46"/>
      <c r="WO44" s="46"/>
      <c r="WP44" s="46"/>
      <c r="WQ44" s="46"/>
      <c r="WR44" s="46"/>
      <c r="WS44" s="46"/>
      <c r="WT44" s="46"/>
      <c r="WU44" s="46"/>
      <c r="WV44" s="46"/>
      <c r="WW44" s="46"/>
      <c r="WX44" s="46"/>
      <c r="WY44" s="46"/>
      <c r="WZ44" s="46"/>
      <c r="XA44" s="46"/>
      <c r="XB44" s="46"/>
      <c r="XC44" s="46"/>
      <c r="XD44" s="46"/>
      <c r="XE44" s="46"/>
      <c r="XF44" s="46"/>
      <c r="XG44" s="46"/>
      <c r="XH44" s="46"/>
      <c r="XI44" s="46"/>
      <c r="XJ44" s="46"/>
      <c r="XK44" s="46"/>
      <c r="XL44" s="46"/>
      <c r="XM44" s="46"/>
      <c r="XN44" s="46"/>
      <c r="XO44" s="46"/>
      <c r="XP44" s="46"/>
      <c r="XQ44" s="46"/>
      <c r="XR44" s="46"/>
      <c r="XS44" s="46"/>
      <c r="XT44" s="46"/>
      <c r="XU44" s="46"/>
      <c r="XV44" s="46"/>
      <c r="XW44" s="46"/>
      <c r="XX44" s="46"/>
      <c r="XY44" s="46"/>
      <c r="XZ44" s="46"/>
      <c r="YA44" s="46"/>
      <c r="YB44" s="46"/>
      <c r="YC44" s="46"/>
      <c r="YD44" s="46"/>
      <c r="YE44" s="46"/>
      <c r="YF44" s="46"/>
      <c r="YG44" s="46"/>
      <c r="YH44" s="46"/>
      <c r="YI44" s="46"/>
      <c r="YJ44" s="46"/>
      <c r="YK44" s="46"/>
      <c r="YL44" s="46"/>
      <c r="YM44" s="46"/>
      <c r="YN44" s="46"/>
      <c r="YO44" s="46"/>
      <c r="YP44" s="46"/>
      <c r="YQ44" s="46"/>
      <c r="YR44" s="46"/>
      <c r="YS44" s="46"/>
      <c r="YT44" s="46"/>
      <c r="YU44" s="46"/>
      <c r="YV44" s="46"/>
      <c r="YW44" s="46"/>
      <c r="YX44" s="46"/>
      <c r="YY44" s="46"/>
      <c r="YZ44" s="46"/>
      <c r="ZA44" s="46"/>
      <c r="ZB44" s="46"/>
      <c r="ZC44" s="46"/>
      <c r="ZD44" s="46"/>
      <c r="ZE44" s="46"/>
      <c r="ZF44" s="46"/>
      <c r="ZG44" s="46"/>
      <c r="ZH44" s="46"/>
      <c r="ZI44" s="46"/>
      <c r="ZJ44" s="46"/>
      <c r="ZK44" s="46"/>
      <c r="ZL44" s="46"/>
      <c r="ZM44" s="46"/>
      <c r="ZN44" s="46"/>
      <c r="ZO44" s="46"/>
      <c r="ZP44" s="46"/>
      <c r="ZQ44" s="46"/>
      <c r="ZR44" s="46"/>
      <c r="ZS44" s="46"/>
      <c r="ZT44" s="46"/>
      <c r="ZU44" s="46"/>
      <c r="ZV44" s="46"/>
      <c r="ZW44" s="46"/>
      <c r="ZX44" s="46"/>
      <c r="ZY44" s="46"/>
      <c r="ZZ44" s="46"/>
      <c r="AAA44" s="46"/>
      <c r="AAB44" s="46"/>
      <c r="AAC44" s="46"/>
      <c r="AAD44" s="46"/>
      <c r="AAE44" s="46"/>
      <c r="AAF44" s="46"/>
      <c r="AAG44" s="46"/>
      <c r="AAH44" s="46"/>
      <c r="AAI44" s="46"/>
      <c r="AAJ44" s="46"/>
      <c r="AAK44" s="46"/>
      <c r="AAL44" s="46"/>
      <c r="AAM44" s="46"/>
      <c r="AAN44" s="46"/>
      <c r="AAO44" s="46"/>
      <c r="AAP44" s="46"/>
      <c r="AAQ44" s="46"/>
      <c r="AAR44" s="46"/>
      <c r="AAS44" s="46"/>
      <c r="AAT44" s="46"/>
      <c r="AAU44" s="46"/>
      <c r="AAV44" s="46"/>
      <c r="AAW44" s="46"/>
      <c r="AAX44" s="46"/>
      <c r="AAY44" s="46"/>
      <c r="AAZ44" s="46"/>
      <c r="ABA44" s="46"/>
      <c r="ABB44" s="46"/>
      <c r="ABC44" s="46"/>
      <c r="ABD44" s="46"/>
      <c r="ABE44" s="46"/>
      <c r="ABF44" s="46"/>
      <c r="ABG44" s="46"/>
      <c r="ABH44" s="46"/>
      <c r="ABI44" s="46"/>
      <c r="ABJ44" s="46"/>
      <c r="ABK44" s="46"/>
      <c r="ABL44" s="46"/>
      <c r="ABM44" s="46"/>
      <c r="ABN44" s="46"/>
      <c r="ABO44" s="46"/>
      <c r="ABP44" s="46"/>
      <c r="ABQ44" s="46"/>
      <c r="ABR44" s="46"/>
      <c r="ABS44" s="46"/>
      <c r="ABT44" s="46"/>
      <c r="ABU44" s="46"/>
      <c r="ABV44" s="46"/>
      <c r="ABW44" s="46"/>
      <c r="ABX44" s="46"/>
      <c r="ABY44" s="46"/>
      <c r="ABZ44" s="46"/>
      <c r="ACA44" s="46"/>
      <c r="ACB44" s="46"/>
      <c r="ACC44" s="46"/>
      <c r="ACD44" s="46"/>
      <c r="ACE44" s="46"/>
      <c r="ACF44" s="46"/>
      <c r="ACG44" s="46"/>
      <c r="ACH44" s="46"/>
      <c r="ACI44" s="46"/>
      <c r="ACJ44" s="46"/>
      <c r="ACK44" s="46"/>
      <c r="ACL44" s="46"/>
      <c r="ACM44" s="46"/>
      <c r="ACN44" s="46"/>
      <c r="ACO44" s="46"/>
      <c r="ACP44" s="46"/>
      <c r="ACQ44" s="46"/>
      <c r="ACR44" s="46"/>
      <c r="ACS44" s="46"/>
      <c r="ACT44" s="46"/>
      <c r="ACU44" s="46"/>
      <c r="ACV44" s="46"/>
      <c r="ACW44" s="46"/>
      <c r="ACX44" s="46"/>
      <c r="ACY44" s="46"/>
      <c r="ACZ44" s="46"/>
      <c r="ADA44" s="46"/>
      <c r="ADB44" s="46"/>
      <c r="ADC44" s="46"/>
      <c r="ADD44" s="46"/>
      <c r="ADE44" s="46"/>
      <c r="ADF44" s="46"/>
      <c r="ADG44" s="46"/>
      <c r="ADH44" s="46"/>
      <c r="ADI44" s="46"/>
      <c r="ADJ44" s="46"/>
      <c r="ADK44" s="46"/>
      <c r="ADL44" s="46"/>
      <c r="ADM44" s="46"/>
      <c r="ADN44" s="46"/>
      <c r="ADO44" s="46"/>
      <c r="ADP44" s="46"/>
      <c r="ADQ44" s="46"/>
      <c r="ADR44" s="46"/>
      <c r="ADS44" s="46"/>
      <c r="ADT44" s="46"/>
      <c r="ADU44" s="46"/>
      <c r="ADV44" s="46"/>
      <c r="ADW44" s="46"/>
      <c r="ADX44" s="46"/>
      <c r="ADY44" s="46"/>
      <c r="ADZ44" s="46"/>
      <c r="AEA44" s="46"/>
      <c r="AEB44" s="46"/>
      <c r="AEC44" s="46"/>
      <c r="AED44" s="46"/>
      <c r="AEE44" s="46"/>
      <c r="AEF44" s="46"/>
      <c r="AEG44" s="46"/>
      <c r="AEH44" s="46"/>
      <c r="AEI44" s="46"/>
      <c r="AEJ44" s="46"/>
      <c r="AEK44" s="46"/>
      <c r="AEL44" s="46"/>
      <c r="AEM44" s="46"/>
      <c r="AEN44" s="46"/>
    </row>
    <row r="45" spans="1:820" x14ac:dyDescent="0.25">
      <c r="LR45" s="46"/>
      <c r="LS45" s="46"/>
      <c r="LT45" s="46"/>
      <c r="LU45" s="46"/>
      <c r="LV45" s="46"/>
      <c r="LW45" s="46"/>
      <c r="LX45" s="46"/>
      <c r="LY45" s="46"/>
      <c r="LZ45" s="46"/>
      <c r="MA45" s="46"/>
      <c r="MB45" s="46"/>
      <c r="MC45" s="46"/>
      <c r="MD45" s="46"/>
      <c r="ME45" s="46"/>
      <c r="MF45" s="46"/>
      <c r="MG45" s="46"/>
      <c r="MH45" s="46"/>
      <c r="MI45" s="46"/>
      <c r="MJ45" s="46"/>
      <c r="MK45" s="46"/>
      <c r="ML45" s="46"/>
      <c r="MM45" s="46"/>
      <c r="MN45" s="46"/>
      <c r="MO45" s="46"/>
      <c r="MP45" s="46"/>
      <c r="MQ45" s="46"/>
      <c r="MR45" s="46"/>
      <c r="MS45" s="46"/>
      <c r="MT45" s="46"/>
      <c r="MU45" s="46"/>
      <c r="MV45" s="46"/>
      <c r="MW45" s="46"/>
      <c r="MX45" s="46"/>
      <c r="MY45" s="46"/>
      <c r="MZ45" s="46"/>
      <c r="NA45" s="46"/>
      <c r="NB45" s="46"/>
      <c r="NC45" s="46"/>
      <c r="ND45" s="46"/>
      <c r="NE45" s="46"/>
      <c r="NF45" s="46"/>
      <c r="NG45" s="46"/>
      <c r="NH45" s="46"/>
      <c r="NI45" s="46"/>
      <c r="NJ45" s="46"/>
      <c r="NK45" s="46"/>
      <c r="NL45" s="46"/>
      <c r="NM45" s="46"/>
      <c r="NN45" s="46"/>
      <c r="NO45" s="46"/>
      <c r="NP45" s="46"/>
      <c r="NQ45" s="46"/>
      <c r="NR45" s="46"/>
      <c r="NS45" s="46"/>
      <c r="NT45" s="46"/>
      <c r="NU45" s="46"/>
      <c r="NV45" s="46"/>
      <c r="NW45" s="46"/>
      <c r="NX45" s="46"/>
      <c r="NY45" s="46"/>
      <c r="NZ45" s="46"/>
      <c r="OA45" s="46"/>
      <c r="OB45" s="46"/>
      <c r="OC45" s="46"/>
      <c r="OD45" s="46"/>
      <c r="OE45" s="46"/>
      <c r="OF45" s="46"/>
      <c r="OG45" s="46"/>
      <c r="OH45" s="46"/>
      <c r="OI45" s="46"/>
      <c r="OJ45" s="46"/>
      <c r="OK45" s="46"/>
      <c r="OL45" s="46"/>
      <c r="OM45" s="46"/>
      <c r="ON45" s="46"/>
      <c r="OO45" s="46"/>
      <c r="OP45" s="46"/>
      <c r="OQ45" s="46"/>
      <c r="OR45" s="46"/>
      <c r="OS45" s="46"/>
      <c r="OT45" s="46"/>
      <c r="OU45" s="46"/>
      <c r="OV45" s="46"/>
      <c r="OW45" s="46"/>
      <c r="OX45" s="46"/>
      <c r="OY45" s="46"/>
      <c r="OZ45" s="46"/>
      <c r="PA45" s="46"/>
      <c r="PB45" s="46"/>
      <c r="PC45" s="46"/>
      <c r="PD45" s="46"/>
      <c r="PE45" s="46"/>
      <c r="PF45" s="46"/>
      <c r="PG45" s="46"/>
      <c r="PH45" s="46"/>
      <c r="PI45" s="46"/>
      <c r="PJ45" s="46"/>
      <c r="PK45" s="46"/>
      <c r="PL45" s="46"/>
      <c r="PM45" s="46"/>
      <c r="PN45" s="46"/>
      <c r="PO45" s="46"/>
      <c r="PP45" s="46"/>
      <c r="PQ45" s="46"/>
      <c r="PR45" s="46"/>
      <c r="PS45" s="46"/>
      <c r="PT45" s="46"/>
      <c r="PU45" s="46"/>
      <c r="PV45" s="46"/>
      <c r="PW45" s="46"/>
      <c r="PX45" s="46"/>
      <c r="PY45" s="46"/>
      <c r="PZ45" s="46"/>
      <c r="QA45" s="46"/>
      <c r="QB45" s="46"/>
      <c r="QC45" s="46"/>
      <c r="QD45" s="46"/>
      <c r="QE45" s="46"/>
      <c r="QF45" s="46"/>
      <c r="QG45" s="46"/>
      <c r="QH45" s="46"/>
      <c r="QI45" s="46"/>
      <c r="QJ45" s="46"/>
      <c r="QK45" s="46"/>
      <c r="QL45" s="46"/>
      <c r="QM45" s="46"/>
      <c r="QN45" s="46"/>
      <c r="QO45" s="46"/>
      <c r="QP45" s="46"/>
      <c r="QQ45" s="46"/>
      <c r="QR45" s="46"/>
      <c r="QS45" s="46"/>
      <c r="QT45" s="46"/>
      <c r="QU45" s="46"/>
      <c r="QV45" s="46"/>
      <c r="QW45" s="46"/>
      <c r="QX45" s="46"/>
      <c r="QY45" s="46"/>
      <c r="QZ45" s="46"/>
      <c r="RA45" s="46"/>
      <c r="RB45" s="46"/>
      <c r="RC45" s="46"/>
      <c r="RD45" s="46"/>
      <c r="RE45" s="46"/>
      <c r="RF45" s="46"/>
      <c r="RG45" s="46"/>
      <c r="RH45" s="46"/>
      <c r="RI45" s="46"/>
      <c r="RJ45" s="46"/>
      <c r="RK45" s="46"/>
      <c r="RL45" s="46"/>
      <c r="RM45" s="46"/>
      <c r="RN45" s="46"/>
      <c r="RO45" s="46"/>
      <c r="RP45" s="46"/>
      <c r="RQ45" s="46"/>
      <c r="RR45" s="46"/>
      <c r="RS45" s="46"/>
      <c r="RT45" s="46"/>
      <c r="RU45" s="46"/>
      <c r="RV45" s="46"/>
      <c r="RW45" s="46"/>
      <c r="RX45" s="46"/>
      <c r="RY45" s="46"/>
      <c r="RZ45" s="46"/>
      <c r="SA45" s="46"/>
      <c r="SB45" s="46"/>
      <c r="SC45" s="46"/>
      <c r="SD45" s="46"/>
      <c r="SE45" s="46"/>
      <c r="SF45" s="46"/>
      <c r="SG45" s="46"/>
      <c r="SH45" s="46"/>
      <c r="SI45" s="46"/>
      <c r="SJ45" s="46"/>
      <c r="SK45" s="46"/>
      <c r="SL45" s="46"/>
      <c r="SM45" s="46"/>
      <c r="SN45" s="46"/>
      <c r="SO45" s="46"/>
      <c r="SP45" s="46"/>
      <c r="SQ45" s="46"/>
      <c r="SR45" s="46"/>
      <c r="SS45" s="46"/>
      <c r="ST45" s="46"/>
      <c r="SU45" s="46"/>
      <c r="SV45" s="46"/>
      <c r="SW45" s="46"/>
      <c r="SX45" s="46"/>
      <c r="SY45" s="46"/>
      <c r="SZ45" s="46"/>
      <c r="TA45" s="46"/>
      <c r="TB45" s="46"/>
      <c r="TC45" s="46"/>
      <c r="TD45" s="46"/>
      <c r="TE45" s="46"/>
      <c r="TF45" s="46"/>
      <c r="TG45" s="46"/>
      <c r="TH45" s="46"/>
      <c r="TI45" s="46"/>
      <c r="TJ45" s="46"/>
      <c r="TK45" s="46"/>
      <c r="TL45" s="46"/>
      <c r="TM45" s="46"/>
      <c r="TN45" s="46"/>
      <c r="TO45" s="46"/>
      <c r="TP45" s="46"/>
      <c r="TQ45" s="46"/>
      <c r="TR45" s="46"/>
      <c r="TS45" s="46"/>
      <c r="TT45" s="46"/>
      <c r="TU45" s="46"/>
      <c r="TV45" s="46"/>
      <c r="TW45" s="46"/>
      <c r="TX45" s="46"/>
      <c r="TY45" s="46"/>
      <c r="TZ45" s="46"/>
      <c r="UA45" s="46"/>
      <c r="UB45" s="46"/>
      <c r="UC45" s="46"/>
      <c r="UD45" s="46"/>
      <c r="UE45" s="46"/>
      <c r="UF45" s="46"/>
      <c r="UG45" s="46"/>
      <c r="UH45" s="46"/>
      <c r="UI45" s="46"/>
      <c r="UJ45" s="46"/>
      <c r="UK45" s="46"/>
      <c r="UL45" s="46"/>
      <c r="UM45" s="46"/>
      <c r="UN45" s="46"/>
      <c r="UO45" s="46"/>
      <c r="UP45" s="46"/>
      <c r="UQ45" s="46"/>
      <c r="UR45" s="46"/>
      <c r="US45" s="46"/>
      <c r="UT45" s="46"/>
      <c r="UU45" s="46"/>
      <c r="UV45" s="46"/>
      <c r="UW45" s="46"/>
      <c r="UX45" s="46"/>
      <c r="UY45" s="46"/>
      <c r="UZ45" s="46"/>
      <c r="VA45" s="46"/>
      <c r="VB45" s="46"/>
      <c r="VC45" s="46"/>
      <c r="VD45" s="46"/>
      <c r="VE45" s="46"/>
      <c r="VF45" s="46"/>
      <c r="VG45" s="46"/>
      <c r="VH45" s="46"/>
      <c r="VI45" s="46"/>
      <c r="VJ45" s="46"/>
      <c r="VK45" s="46"/>
      <c r="VL45" s="46"/>
      <c r="VM45" s="46"/>
      <c r="VN45" s="46"/>
      <c r="VO45" s="46"/>
      <c r="VP45" s="46"/>
      <c r="VQ45" s="46"/>
      <c r="VR45" s="46"/>
      <c r="VS45" s="46"/>
      <c r="VT45" s="46"/>
      <c r="VU45" s="46"/>
      <c r="VV45" s="46"/>
      <c r="VW45" s="46"/>
      <c r="VX45" s="46"/>
      <c r="VY45" s="46"/>
      <c r="VZ45" s="46"/>
      <c r="WA45" s="46"/>
      <c r="WB45" s="46"/>
      <c r="WC45" s="46"/>
      <c r="WD45" s="46"/>
      <c r="WE45" s="46"/>
      <c r="WF45" s="46"/>
      <c r="WG45" s="46"/>
      <c r="WH45" s="46"/>
      <c r="WI45" s="46"/>
      <c r="WJ45" s="46"/>
      <c r="WK45" s="46"/>
      <c r="WL45" s="46"/>
      <c r="WM45" s="46"/>
      <c r="WN45" s="46"/>
      <c r="WO45" s="46"/>
      <c r="WP45" s="46"/>
      <c r="WQ45" s="46"/>
      <c r="WR45" s="46"/>
      <c r="WS45" s="46"/>
      <c r="WT45" s="46"/>
      <c r="WU45" s="46"/>
      <c r="WV45" s="46"/>
      <c r="WW45" s="46"/>
      <c r="WX45" s="46"/>
      <c r="WY45" s="46"/>
      <c r="WZ45" s="46"/>
      <c r="XA45" s="46"/>
      <c r="XB45" s="46"/>
      <c r="XC45" s="46"/>
      <c r="XD45" s="46"/>
      <c r="XE45" s="46"/>
      <c r="XF45" s="46"/>
      <c r="XG45" s="46"/>
      <c r="XH45" s="46"/>
      <c r="XI45" s="46"/>
      <c r="XJ45" s="46"/>
      <c r="XK45" s="46"/>
      <c r="XL45" s="46"/>
      <c r="XM45" s="46"/>
      <c r="XN45" s="46"/>
      <c r="XO45" s="46"/>
      <c r="XP45" s="46"/>
      <c r="XQ45" s="46"/>
      <c r="XR45" s="46"/>
      <c r="XS45" s="46"/>
      <c r="XT45" s="46"/>
      <c r="XU45" s="46"/>
      <c r="XV45" s="46"/>
      <c r="XW45" s="46"/>
      <c r="XX45" s="46"/>
      <c r="XY45" s="46"/>
      <c r="XZ45" s="46"/>
      <c r="YA45" s="46"/>
      <c r="YB45" s="46"/>
      <c r="YC45" s="46"/>
      <c r="YD45" s="46"/>
      <c r="YE45" s="46"/>
      <c r="YF45" s="46"/>
      <c r="YG45" s="46"/>
      <c r="YH45" s="46"/>
      <c r="YI45" s="46"/>
      <c r="YJ45" s="46"/>
      <c r="YK45" s="46"/>
      <c r="YL45" s="46"/>
      <c r="YM45" s="46"/>
      <c r="YN45" s="46"/>
      <c r="YO45" s="46"/>
      <c r="YP45" s="46"/>
      <c r="YQ45" s="46"/>
      <c r="YR45" s="46"/>
      <c r="YS45" s="46"/>
      <c r="YT45" s="46"/>
      <c r="YU45" s="46"/>
      <c r="YV45" s="46"/>
      <c r="YW45" s="46"/>
      <c r="YX45" s="46"/>
      <c r="YY45" s="46"/>
      <c r="YZ45" s="46"/>
      <c r="ZA45" s="46"/>
      <c r="ZB45" s="46"/>
      <c r="ZC45" s="46"/>
      <c r="ZD45" s="46"/>
      <c r="ZE45" s="46"/>
      <c r="ZF45" s="46"/>
      <c r="ZG45" s="46"/>
      <c r="ZH45" s="46"/>
      <c r="ZI45" s="46"/>
      <c r="ZJ45" s="46"/>
      <c r="ZK45" s="46"/>
      <c r="ZL45" s="46"/>
      <c r="ZM45" s="46"/>
      <c r="ZN45" s="46"/>
      <c r="ZO45" s="46"/>
      <c r="ZP45" s="46"/>
      <c r="ZQ45" s="46"/>
      <c r="ZR45" s="46"/>
      <c r="ZS45" s="46"/>
      <c r="ZT45" s="46"/>
      <c r="ZU45" s="46"/>
      <c r="ZV45" s="46"/>
      <c r="ZW45" s="46"/>
      <c r="ZX45" s="46"/>
      <c r="ZY45" s="46"/>
      <c r="ZZ45" s="46"/>
      <c r="AAA45" s="46"/>
      <c r="AAB45" s="46"/>
      <c r="AAC45" s="46"/>
      <c r="AAD45" s="46"/>
      <c r="AAE45" s="46"/>
      <c r="AAF45" s="46"/>
      <c r="AAG45" s="46"/>
      <c r="AAH45" s="46"/>
      <c r="AAI45" s="46"/>
      <c r="AAJ45" s="46"/>
      <c r="AAK45" s="46"/>
      <c r="AAL45" s="46"/>
      <c r="AAM45" s="46"/>
      <c r="AAN45" s="46"/>
      <c r="AAO45" s="46"/>
      <c r="AAP45" s="46"/>
      <c r="AAQ45" s="46"/>
      <c r="AAR45" s="46"/>
      <c r="AAS45" s="46"/>
      <c r="AAT45" s="46"/>
      <c r="AAU45" s="46"/>
      <c r="AAV45" s="46"/>
      <c r="AAW45" s="46"/>
      <c r="AAX45" s="46"/>
      <c r="AAY45" s="46"/>
      <c r="AAZ45" s="46"/>
      <c r="ABA45" s="46"/>
      <c r="ABB45" s="46"/>
      <c r="ABC45" s="46"/>
      <c r="ABD45" s="46"/>
      <c r="ABE45" s="46"/>
      <c r="ABF45" s="46"/>
      <c r="ABG45" s="46"/>
      <c r="ABH45" s="46"/>
      <c r="ABI45" s="46"/>
      <c r="ABJ45" s="46"/>
      <c r="ABK45" s="46"/>
      <c r="ABL45" s="46"/>
      <c r="ABM45" s="46"/>
      <c r="ABN45" s="46"/>
      <c r="ABO45" s="46"/>
      <c r="ABP45" s="46"/>
      <c r="ABQ45" s="46"/>
      <c r="ABR45" s="46"/>
      <c r="ABS45" s="46"/>
      <c r="ABT45" s="46"/>
      <c r="ABU45" s="46"/>
      <c r="ABV45" s="46"/>
      <c r="ABW45" s="46"/>
      <c r="ABX45" s="46"/>
      <c r="ABY45" s="46"/>
      <c r="ABZ45" s="46"/>
      <c r="ACA45" s="46"/>
      <c r="ACB45" s="46"/>
      <c r="ACC45" s="46"/>
      <c r="ACD45" s="46"/>
      <c r="ACE45" s="46"/>
      <c r="ACF45" s="46"/>
      <c r="ACG45" s="46"/>
      <c r="ACH45" s="46"/>
      <c r="ACI45" s="46"/>
      <c r="ACJ45" s="46"/>
      <c r="ACK45" s="46"/>
      <c r="ACL45" s="46"/>
      <c r="ACM45" s="46"/>
      <c r="ACN45" s="46"/>
      <c r="ACO45" s="46"/>
      <c r="ACP45" s="46"/>
      <c r="ACQ45" s="46"/>
      <c r="ACR45" s="46"/>
      <c r="ACS45" s="46"/>
      <c r="ACT45" s="46"/>
      <c r="ACU45" s="46"/>
      <c r="ACV45" s="46"/>
      <c r="ACW45" s="46"/>
      <c r="ACX45" s="46"/>
      <c r="ACY45" s="46"/>
      <c r="ACZ45" s="46"/>
      <c r="ADA45" s="46"/>
      <c r="ADB45" s="46"/>
      <c r="ADC45" s="46"/>
      <c r="ADD45" s="46"/>
      <c r="ADE45" s="46"/>
      <c r="ADF45" s="46"/>
      <c r="ADG45" s="46"/>
      <c r="ADH45" s="46"/>
      <c r="ADI45" s="46"/>
      <c r="ADJ45" s="46"/>
      <c r="ADK45" s="46"/>
      <c r="ADL45" s="46"/>
      <c r="ADM45" s="46"/>
      <c r="ADN45" s="46"/>
      <c r="ADO45" s="46"/>
      <c r="ADP45" s="46"/>
      <c r="ADQ45" s="46"/>
      <c r="ADR45" s="46"/>
      <c r="ADS45" s="46"/>
      <c r="ADT45" s="46"/>
      <c r="ADU45" s="46"/>
      <c r="ADV45" s="46"/>
      <c r="ADW45" s="46"/>
      <c r="ADX45" s="46"/>
      <c r="ADY45" s="46"/>
      <c r="ADZ45" s="46"/>
      <c r="AEA45" s="46"/>
      <c r="AEB45" s="46"/>
      <c r="AEC45" s="46"/>
      <c r="AED45" s="46"/>
      <c r="AEE45" s="46"/>
      <c r="AEF45" s="46"/>
      <c r="AEG45" s="46"/>
      <c r="AEH45" s="46"/>
      <c r="AEI45" s="46"/>
      <c r="AEJ45" s="46"/>
      <c r="AEK45" s="46"/>
      <c r="AEL45" s="46"/>
      <c r="AEM45" s="46"/>
      <c r="AEN45" s="46"/>
    </row>
    <row r="46" spans="1:820" x14ac:dyDescent="0.25">
      <c r="LR46" s="46"/>
      <c r="LS46" s="46"/>
      <c r="LT46" s="46"/>
      <c r="LU46" s="46"/>
      <c r="LV46" s="46"/>
      <c r="LW46" s="46"/>
      <c r="LX46" s="46"/>
      <c r="LY46" s="46"/>
      <c r="LZ46" s="46"/>
      <c r="MA46" s="46"/>
      <c r="MB46" s="46"/>
      <c r="MC46" s="46"/>
      <c r="MD46" s="46"/>
      <c r="ME46" s="46"/>
      <c r="MF46" s="46"/>
      <c r="MG46" s="46"/>
      <c r="MH46" s="46"/>
      <c r="MI46" s="46"/>
      <c r="MJ46" s="46"/>
      <c r="MK46" s="46"/>
      <c r="ML46" s="46"/>
      <c r="MM46" s="46"/>
      <c r="MN46" s="46"/>
      <c r="MO46" s="46"/>
      <c r="MP46" s="46"/>
      <c r="MQ46" s="46"/>
      <c r="MR46" s="46"/>
      <c r="MS46" s="46"/>
      <c r="MT46" s="46"/>
      <c r="MU46" s="46"/>
      <c r="MV46" s="46"/>
      <c r="MW46" s="46"/>
      <c r="MX46" s="46"/>
      <c r="MY46" s="46"/>
      <c r="MZ46" s="46"/>
      <c r="NA46" s="46"/>
      <c r="NB46" s="46"/>
      <c r="NC46" s="46"/>
      <c r="ND46" s="46"/>
      <c r="NE46" s="46"/>
      <c r="NF46" s="46"/>
      <c r="NG46" s="46"/>
      <c r="NH46" s="46"/>
      <c r="NI46" s="46"/>
      <c r="NJ46" s="46"/>
      <c r="NK46" s="46"/>
      <c r="NL46" s="46"/>
      <c r="NM46" s="46"/>
      <c r="NN46" s="46"/>
      <c r="NO46" s="46"/>
      <c r="NP46" s="46"/>
      <c r="NQ46" s="46"/>
      <c r="NR46" s="46"/>
      <c r="NS46" s="46"/>
      <c r="NT46" s="46"/>
      <c r="NU46" s="46"/>
      <c r="NV46" s="46"/>
      <c r="NW46" s="46"/>
      <c r="NX46" s="46"/>
      <c r="NY46" s="46"/>
      <c r="NZ46" s="46"/>
      <c r="OA46" s="46"/>
      <c r="OB46" s="46"/>
      <c r="OC46" s="46"/>
      <c r="OD46" s="46"/>
      <c r="OE46" s="46"/>
      <c r="OF46" s="46"/>
      <c r="OG46" s="46"/>
      <c r="OH46" s="46"/>
      <c r="OI46" s="46"/>
      <c r="OJ46" s="46"/>
      <c r="OK46" s="46"/>
      <c r="OL46" s="46"/>
      <c r="OM46" s="46"/>
      <c r="ON46" s="46"/>
      <c r="OO46" s="46"/>
      <c r="OP46" s="46"/>
      <c r="OQ46" s="46"/>
      <c r="OR46" s="46"/>
      <c r="OS46" s="46"/>
      <c r="OT46" s="46"/>
      <c r="OU46" s="46"/>
      <c r="OV46" s="46"/>
      <c r="OW46" s="46"/>
      <c r="OX46" s="46"/>
      <c r="OY46" s="46"/>
      <c r="OZ46" s="46"/>
      <c r="PA46" s="46"/>
      <c r="PB46" s="46"/>
      <c r="PC46" s="46"/>
      <c r="PD46" s="46"/>
      <c r="PE46" s="46"/>
      <c r="PF46" s="46"/>
      <c r="PG46" s="46"/>
      <c r="PH46" s="46"/>
      <c r="PI46" s="46"/>
      <c r="PJ46" s="46"/>
      <c r="PK46" s="46"/>
      <c r="PL46" s="46"/>
      <c r="PM46" s="46"/>
      <c r="PN46" s="46"/>
      <c r="PO46" s="46"/>
      <c r="PP46" s="46"/>
      <c r="PQ46" s="46"/>
      <c r="PR46" s="46"/>
      <c r="PS46" s="46"/>
      <c r="PT46" s="46"/>
      <c r="PU46" s="46"/>
      <c r="PV46" s="46"/>
      <c r="PW46" s="46"/>
      <c r="PX46" s="46"/>
      <c r="PY46" s="46"/>
      <c r="PZ46" s="46"/>
      <c r="QA46" s="46"/>
      <c r="QB46" s="46"/>
      <c r="QC46" s="46"/>
      <c r="QD46" s="46"/>
      <c r="QE46" s="46"/>
      <c r="QF46" s="46"/>
      <c r="QG46" s="46"/>
      <c r="QH46" s="46"/>
      <c r="QI46" s="46"/>
      <c r="QJ46" s="46"/>
      <c r="QK46" s="46"/>
      <c r="QL46" s="46"/>
      <c r="QM46" s="46"/>
      <c r="QN46" s="46"/>
      <c r="QO46" s="46"/>
      <c r="QP46" s="46"/>
      <c r="QQ46" s="46"/>
      <c r="QR46" s="46"/>
      <c r="QS46" s="46"/>
      <c r="QT46" s="46"/>
      <c r="QU46" s="46"/>
      <c r="QV46" s="46"/>
      <c r="QW46" s="46"/>
      <c r="QX46" s="46"/>
      <c r="QY46" s="46"/>
      <c r="QZ46" s="46"/>
      <c r="RA46" s="46"/>
      <c r="RB46" s="46"/>
      <c r="RC46" s="46"/>
      <c r="RD46" s="46"/>
      <c r="RE46" s="46"/>
      <c r="RF46" s="46"/>
      <c r="RG46" s="46"/>
      <c r="RH46" s="46"/>
      <c r="RI46" s="46"/>
      <c r="RJ46" s="46"/>
      <c r="RK46" s="46"/>
      <c r="RL46" s="46"/>
      <c r="RM46" s="46"/>
      <c r="RN46" s="46"/>
      <c r="RO46" s="46"/>
      <c r="RP46" s="46"/>
      <c r="RQ46" s="46"/>
      <c r="RR46" s="46"/>
      <c r="RS46" s="46"/>
      <c r="RT46" s="46"/>
      <c r="RU46" s="46"/>
      <c r="RV46" s="46"/>
      <c r="RW46" s="46"/>
      <c r="RX46" s="46"/>
      <c r="RY46" s="46"/>
      <c r="RZ46" s="46"/>
      <c r="SA46" s="46"/>
      <c r="SB46" s="46"/>
      <c r="SC46" s="46"/>
      <c r="SD46" s="46"/>
      <c r="SE46" s="46"/>
      <c r="SF46" s="46"/>
      <c r="SG46" s="46"/>
      <c r="SH46" s="46"/>
      <c r="SI46" s="46"/>
      <c r="SJ46" s="46"/>
      <c r="SK46" s="46"/>
      <c r="SL46" s="46"/>
      <c r="SM46" s="46"/>
      <c r="SN46" s="46"/>
      <c r="SO46" s="46"/>
      <c r="SP46" s="46"/>
      <c r="SQ46" s="46"/>
      <c r="SR46" s="46"/>
      <c r="SS46" s="46"/>
      <c r="ST46" s="46"/>
      <c r="SU46" s="46"/>
      <c r="SV46" s="46"/>
      <c r="SW46" s="46"/>
      <c r="SX46" s="46"/>
      <c r="SY46" s="46"/>
      <c r="SZ46" s="46"/>
      <c r="TA46" s="46"/>
      <c r="TB46" s="46"/>
      <c r="TC46" s="46"/>
      <c r="TD46" s="46"/>
      <c r="TE46" s="46"/>
      <c r="TF46" s="46"/>
      <c r="TG46" s="46"/>
      <c r="TH46" s="46"/>
      <c r="TI46" s="46"/>
      <c r="TJ46" s="46"/>
      <c r="TK46" s="46"/>
      <c r="TL46" s="46"/>
      <c r="TM46" s="46"/>
      <c r="TN46" s="46"/>
      <c r="TO46" s="46"/>
      <c r="TP46" s="46"/>
      <c r="TQ46" s="46"/>
      <c r="TR46" s="46"/>
      <c r="TS46" s="46"/>
      <c r="TT46" s="46"/>
      <c r="TU46" s="46"/>
      <c r="TV46" s="46"/>
      <c r="TW46" s="46"/>
      <c r="TX46" s="46"/>
      <c r="TY46" s="46"/>
      <c r="TZ46" s="46"/>
      <c r="UA46" s="46"/>
      <c r="UB46" s="46"/>
      <c r="UC46" s="46"/>
      <c r="UD46" s="46"/>
      <c r="UE46" s="46"/>
      <c r="UF46" s="46"/>
      <c r="UG46" s="46"/>
      <c r="UH46" s="46"/>
      <c r="UI46" s="46"/>
      <c r="UJ46" s="46"/>
      <c r="UK46" s="46"/>
      <c r="UL46" s="46"/>
      <c r="UM46" s="46"/>
      <c r="UN46" s="46"/>
      <c r="UO46" s="46"/>
      <c r="UP46" s="46"/>
      <c r="UQ46" s="46"/>
      <c r="UR46" s="46"/>
      <c r="US46" s="46"/>
      <c r="UT46" s="46"/>
      <c r="UU46" s="46"/>
      <c r="UV46" s="46"/>
      <c r="UW46" s="46"/>
      <c r="UX46" s="46"/>
      <c r="UY46" s="46"/>
      <c r="UZ46" s="46"/>
      <c r="VA46" s="46"/>
      <c r="VB46" s="46"/>
      <c r="VC46" s="46"/>
      <c r="VD46" s="46"/>
      <c r="VE46" s="46"/>
      <c r="VF46" s="46"/>
      <c r="VG46" s="46"/>
      <c r="VH46" s="46"/>
      <c r="VI46" s="46"/>
      <c r="VJ46" s="46"/>
      <c r="VK46" s="46"/>
      <c r="VL46" s="46"/>
      <c r="VM46" s="46"/>
      <c r="VN46" s="46"/>
      <c r="VO46" s="46"/>
      <c r="VP46" s="46"/>
      <c r="VQ46" s="46"/>
      <c r="VR46" s="46"/>
      <c r="VS46" s="46"/>
      <c r="VT46" s="46"/>
      <c r="VU46" s="46"/>
      <c r="VV46" s="46"/>
      <c r="VW46" s="46"/>
      <c r="VX46" s="46"/>
      <c r="VY46" s="46"/>
      <c r="VZ46" s="46"/>
      <c r="WA46" s="46"/>
      <c r="WB46" s="46"/>
      <c r="WC46" s="46"/>
      <c r="WD46" s="46"/>
      <c r="WE46" s="46"/>
      <c r="WF46" s="46"/>
      <c r="WG46" s="46"/>
      <c r="WH46" s="46"/>
      <c r="WI46" s="46"/>
      <c r="WJ46" s="46"/>
      <c r="WK46" s="46"/>
      <c r="WL46" s="46"/>
      <c r="WM46" s="46"/>
      <c r="WN46" s="46"/>
      <c r="WO46" s="46"/>
      <c r="WP46" s="46"/>
      <c r="WQ46" s="46"/>
      <c r="WR46" s="46"/>
      <c r="WS46" s="46"/>
      <c r="WT46" s="46"/>
      <c r="WU46" s="46"/>
      <c r="WV46" s="46"/>
      <c r="WW46" s="46"/>
      <c r="WX46" s="46"/>
      <c r="WY46" s="46"/>
      <c r="WZ46" s="46"/>
      <c r="XA46" s="46"/>
      <c r="XB46" s="46"/>
      <c r="XC46" s="46"/>
      <c r="XD46" s="46"/>
      <c r="XE46" s="46"/>
      <c r="XF46" s="46"/>
      <c r="XG46" s="46"/>
      <c r="XH46" s="46"/>
      <c r="XI46" s="46"/>
      <c r="XJ46" s="46"/>
      <c r="XK46" s="46"/>
      <c r="XL46" s="46"/>
      <c r="XM46" s="46"/>
      <c r="XN46" s="46"/>
      <c r="XO46" s="46"/>
      <c r="XP46" s="46"/>
      <c r="XQ46" s="46"/>
      <c r="XR46" s="46"/>
      <c r="XS46" s="46"/>
      <c r="XT46" s="46"/>
      <c r="XU46" s="46"/>
      <c r="XV46" s="46"/>
      <c r="XW46" s="46"/>
      <c r="XX46" s="46"/>
      <c r="XY46" s="46"/>
      <c r="XZ46" s="46"/>
      <c r="YA46" s="46"/>
      <c r="YB46" s="46"/>
      <c r="YC46" s="46"/>
      <c r="YD46" s="46"/>
      <c r="YE46" s="46"/>
      <c r="YF46" s="46"/>
      <c r="YG46" s="46"/>
      <c r="YH46" s="46"/>
      <c r="YI46" s="46"/>
      <c r="YJ46" s="46"/>
      <c r="YK46" s="46"/>
      <c r="YL46" s="46"/>
      <c r="YM46" s="46"/>
      <c r="YN46" s="46"/>
      <c r="YO46" s="46"/>
      <c r="YP46" s="46"/>
      <c r="YQ46" s="46"/>
      <c r="YR46" s="46"/>
      <c r="YS46" s="46"/>
      <c r="YT46" s="46"/>
      <c r="YU46" s="46"/>
      <c r="YV46" s="46"/>
      <c r="YW46" s="46"/>
      <c r="YX46" s="46"/>
      <c r="YY46" s="46"/>
      <c r="YZ46" s="46"/>
      <c r="ZA46" s="46"/>
      <c r="ZB46" s="46"/>
      <c r="ZC46" s="46"/>
      <c r="ZD46" s="46"/>
      <c r="ZE46" s="46"/>
      <c r="ZF46" s="46"/>
      <c r="ZG46" s="46"/>
      <c r="ZH46" s="46"/>
      <c r="ZI46" s="46"/>
      <c r="ZJ46" s="46"/>
      <c r="ZK46" s="46"/>
      <c r="ZL46" s="46"/>
      <c r="ZM46" s="46"/>
      <c r="ZN46" s="46"/>
      <c r="ZO46" s="46"/>
      <c r="ZP46" s="46"/>
      <c r="ZQ46" s="46"/>
      <c r="ZR46" s="46"/>
      <c r="ZS46" s="46"/>
      <c r="ZT46" s="46"/>
      <c r="ZU46" s="46"/>
      <c r="ZV46" s="46"/>
      <c r="ZW46" s="46"/>
      <c r="ZX46" s="46"/>
      <c r="ZY46" s="46"/>
      <c r="ZZ46" s="46"/>
      <c r="AAA46" s="46"/>
      <c r="AAB46" s="46"/>
      <c r="AAC46" s="46"/>
      <c r="AAD46" s="46"/>
      <c r="AAE46" s="46"/>
      <c r="AAF46" s="46"/>
      <c r="AAG46" s="46"/>
      <c r="AAH46" s="46"/>
      <c r="AAI46" s="46"/>
      <c r="AAJ46" s="46"/>
      <c r="AAK46" s="46"/>
      <c r="AAL46" s="46"/>
      <c r="AAM46" s="46"/>
      <c r="AAN46" s="46"/>
      <c r="AAO46" s="46"/>
      <c r="AAP46" s="46"/>
      <c r="AAQ46" s="46"/>
      <c r="AAR46" s="46"/>
      <c r="AAS46" s="46"/>
      <c r="AAT46" s="46"/>
      <c r="AAU46" s="46"/>
      <c r="AAV46" s="46"/>
      <c r="AAW46" s="46"/>
      <c r="AAX46" s="46"/>
      <c r="AAY46" s="46"/>
      <c r="AAZ46" s="46"/>
      <c r="ABA46" s="46"/>
      <c r="ABB46" s="46"/>
      <c r="ABC46" s="46"/>
      <c r="ABD46" s="46"/>
      <c r="ABE46" s="46"/>
      <c r="ABF46" s="46"/>
      <c r="ABG46" s="46"/>
      <c r="ABH46" s="46"/>
      <c r="ABI46" s="46"/>
      <c r="ABJ46" s="46"/>
      <c r="ABK46" s="46"/>
      <c r="ABL46" s="46"/>
      <c r="ABM46" s="46"/>
      <c r="ABN46" s="46"/>
      <c r="ABO46" s="46"/>
      <c r="ABP46" s="46"/>
      <c r="ABQ46" s="46"/>
      <c r="ABR46" s="46"/>
      <c r="ABS46" s="46"/>
      <c r="ABT46" s="46"/>
      <c r="ABU46" s="46"/>
      <c r="ABV46" s="46"/>
      <c r="ABW46" s="46"/>
      <c r="ABX46" s="46"/>
      <c r="ABY46" s="46"/>
      <c r="ABZ46" s="46"/>
      <c r="ACA46" s="46"/>
      <c r="ACB46" s="46"/>
      <c r="ACC46" s="46"/>
      <c r="ACD46" s="46"/>
      <c r="ACE46" s="46"/>
      <c r="ACF46" s="46"/>
      <c r="ACG46" s="46"/>
      <c r="ACH46" s="46"/>
      <c r="ACI46" s="46"/>
      <c r="ACJ46" s="46"/>
      <c r="ACK46" s="46"/>
      <c r="ACL46" s="46"/>
      <c r="ACM46" s="46"/>
      <c r="ACN46" s="46"/>
      <c r="ACO46" s="46"/>
      <c r="ACP46" s="46"/>
      <c r="ACQ46" s="46"/>
      <c r="ACR46" s="46"/>
      <c r="ACS46" s="46"/>
      <c r="ACT46" s="46"/>
      <c r="ACU46" s="46"/>
      <c r="ACV46" s="46"/>
      <c r="ACW46" s="46"/>
      <c r="ACX46" s="46"/>
      <c r="ACY46" s="46"/>
      <c r="ACZ46" s="46"/>
      <c r="ADA46" s="46"/>
      <c r="ADB46" s="46"/>
      <c r="ADC46" s="46"/>
      <c r="ADD46" s="46"/>
      <c r="ADE46" s="46"/>
      <c r="ADF46" s="46"/>
      <c r="ADG46" s="46"/>
      <c r="ADH46" s="46"/>
      <c r="ADI46" s="46"/>
      <c r="ADJ46" s="46"/>
      <c r="ADK46" s="46"/>
      <c r="ADL46" s="46"/>
      <c r="ADM46" s="46"/>
      <c r="ADN46" s="46"/>
      <c r="ADO46" s="46"/>
      <c r="ADP46" s="46"/>
      <c r="ADQ46" s="46"/>
      <c r="ADR46" s="46"/>
      <c r="ADS46" s="46"/>
      <c r="ADT46" s="46"/>
      <c r="ADU46" s="46"/>
      <c r="ADV46" s="46"/>
      <c r="ADW46" s="46"/>
      <c r="ADX46" s="46"/>
      <c r="ADY46" s="46"/>
      <c r="ADZ46" s="46"/>
      <c r="AEA46" s="46"/>
      <c r="AEB46" s="46"/>
      <c r="AEC46" s="46"/>
      <c r="AED46" s="46"/>
      <c r="AEE46" s="46"/>
      <c r="AEF46" s="46"/>
      <c r="AEG46" s="46"/>
      <c r="AEH46" s="46"/>
      <c r="AEI46" s="46"/>
      <c r="AEJ46" s="46"/>
      <c r="AEK46" s="46"/>
      <c r="AEL46" s="46"/>
      <c r="AEM46" s="46"/>
      <c r="AEN46" s="4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9"/>
  <dimension ref="A1:X42"/>
  <sheetViews>
    <sheetView topLeftCell="I1" zoomScale="70" zoomScaleNormal="70" workbookViewId="0">
      <selection activeCell="V37" sqref="V37"/>
    </sheetView>
  </sheetViews>
  <sheetFormatPr defaultRowHeight="15" x14ac:dyDescent="0.25"/>
  <cols>
    <col min="1" max="1" width="9.140625" style="51"/>
    <col min="2" max="2" width="5.7109375" style="51" customWidth="1"/>
    <col min="3" max="3" width="4.5703125" style="51" customWidth="1"/>
    <col min="4" max="4" width="11.85546875" style="51" bestFit="1" customWidth="1"/>
    <col min="5" max="16384" width="9.140625" style="51"/>
  </cols>
  <sheetData>
    <row r="1" spans="1:24" x14ac:dyDescent="0.25">
      <c r="A1" s="47">
        <v>50</v>
      </c>
      <c r="B1" s="99" t="s">
        <v>260</v>
      </c>
      <c r="C1" s="99"/>
      <c r="D1" s="99"/>
      <c r="E1" s="100" t="s">
        <v>259</v>
      </c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48"/>
    </row>
    <row r="2" spans="1:24" x14ac:dyDescent="0.25">
      <c r="A2" s="100" t="s">
        <v>261</v>
      </c>
      <c r="B2" s="100"/>
      <c r="C2" s="100"/>
      <c r="D2" s="100"/>
      <c r="E2" s="49" t="s">
        <v>15</v>
      </c>
      <c r="F2" s="47"/>
      <c r="G2" s="49" t="s">
        <v>16</v>
      </c>
      <c r="H2" s="47"/>
      <c r="I2" s="49" t="s">
        <v>17</v>
      </c>
      <c r="J2" s="47"/>
      <c r="K2" s="49" t="s">
        <v>18</v>
      </c>
      <c r="L2" s="47"/>
      <c r="M2" s="49" t="s">
        <v>19</v>
      </c>
      <c r="N2" s="47"/>
      <c r="O2" s="49" t="s">
        <v>20</v>
      </c>
      <c r="P2" s="47"/>
      <c r="Q2" s="49" t="s">
        <v>21</v>
      </c>
      <c r="R2" s="47"/>
      <c r="S2" s="49" t="s">
        <v>22</v>
      </c>
      <c r="T2" s="47"/>
      <c r="U2" s="49" t="s">
        <v>23</v>
      </c>
      <c r="V2" s="47"/>
      <c r="W2" s="49" t="s">
        <v>256</v>
      </c>
      <c r="X2" s="47"/>
    </row>
    <row r="3" spans="1:24" x14ac:dyDescent="0.25">
      <c r="A3" s="100" t="s">
        <v>161</v>
      </c>
      <c r="B3" s="100"/>
      <c r="C3" s="100"/>
      <c r="D3" s="100"/>
      <c r="E3" s="49">
        <v>450</v>
      </c>
      <c r="F3" s="47"/>
      <c r="G3" s="49">
        <v>500</v>
      </c>
      <c r="H3" s="47"/>
      <c r="I3" s="49">
        <v>2500</v>
      </c>
      <c r="J3" s="47"/>
      <c r="K3" s="49">
        <v>800</v>
      </c>
      <c r="L3" s="47"/>
      <c r="M3" s="49">
        <v>15</v>
      </c>
      <c r="N3" s="47"/>
      <c r="O3" s="49">
        <v>2000</v>
      </c>
      <c r="P3" s="47"/>
      <c r="Q3" s="49">
        <v>480</v>
      </c>
      <c r="R3" s="47"/>
      <c r="S3" s="49">
        <v>500</v>
      </c>
      <c r="T3" s="47"/>
      <c r="U3" s="49">
        <v>1200</v>
      </c>
      <c r="V3" s="47"/>
      <c r="W3" s="49">
        <v>500</v>
      </c>
      <c r="X3" s="47"/>
    </row>
    <row r="4" spans="1:24" x14ac:dyDescent="0.25">
      <c r="A4" s="100" t="s">
        <v>160</v>
      </c>
      <c r="B4" s="100"/>
      <c r="C4" s="100"/>
      <c r="D4" s="100"/>
      <c r="E4" s="49">
        <v>1200</v>
      </c>
      <c r="F4" s="49" t="s">
        <v>15</v>
      </c>
      <c r="G4" s="49">
        <v>800</v>
      </c>
      <c r="H4" s="49" t="s">
        <v>16</v>
      </c>
      <c r="I4" s="49">
        <v>3000</v>
      </c>
      <c r="J4" s="49" t="s">
        <v>17</v>
      </c>
      <c r="K4" s="49">
        <v>900</v>
      </c>
      <c r="L4" s="49" t="s">
        <v>18</v>
      </c>
      <c r="M4" s="49">
        <v>350</v>
      </c>
      <c r="N4" s="49" t="s">
        <v>19</v>
      </c>
      <c r="O4" s="49">
        <v>5000</v>
      </c>
      <c r="P4" s="49" t="s">
        <v>20</v>
      </c>
      <c r="Q4" s="49">
        <v>2500</v>
      </c>
      <c r="R4" s="49" t="s">
        <v>21</v>
      </c>
      <c r="S4" s="49">
        <v>1000</v>
      </c>
      <c r="T4" s="49" t="s">
        <v>22</v>
      </c>
      <c r="U4" s="49">
        <v>5000</v>
      </c>
      <c r="V4" s="49" t="s">
        <v>23</v>
      </c>
      <c r="W4" s="49">
        <v>1500</v>
      </c>
      <c r="X4" s="49" t="s">
        <v>256</v>
      </c>
    </row>
    <row r="5" spans="1:24" x14ac:dyDescent="0.25">
      <c r="A5" s="98" t="s">
        <v>282</v>
      </c>
      <c r="B5" s="98"/>
      <c r="C5" s="98"/>
      <c r="D5" s="89" t="s">
        <v>262</v>
      </c>
      <c r="E5" s="49">
        <v>2</v>
      </c>
      <c r="F5" s="53" t="s">
        <v>0</v>
      </c>
      <c r="G5" s="49">
        <v>6</v>
      </c>
      <c r="H5" s="53" t="s">
        <v>0</v>
      </c>
      <c r="I5" s="49">
        <v>6</v>
      </c>
      <c r="J5" s="53" t="s">
        <v>6</v>
      </c>
      <c r="K5" s="49">
        <v>6</v>
      </c>
      <c r="L5" s="53" t="s">
        <v>0</v>
      </c>
      <c r="M5" s="49">
        <v>6</v>
      </c>
      <c r="N5" s="53" t="s">
        <v>4</v>
      </c>
      <c r="O5" s="49">
        <v>2</v>
      </c>
      <c r="P5" s="53" t="s">
        <v>143</v>
      </c>
      <c r="Q5" s="49">
        <v>7</v>
      </c>
      <c r="R5" s="53" t="s">
        <v>2</v>
      </c>
      <c r="S5" s="49">
        <v>3</v>
      </c>
      <c r="T5" s="53" t="s">
        <v>0</v>
      </c>
      <c r="U5" s="49">
        <v>6</v>
      </c>
      <c r="V5" s="53" t="s">
        <v>3</v>
      </c>
      <c r="W5" s="49">
        <v>5</v>
      </c>
      <c r="X5" s="53" t="s">
        <v>2</v>
      </c>
    </row>
    <row r="6" spans="1:24" x14ac:dyDescent="0.25">
      <c r="A6" s="98"/>
      <c r="B6" s="98"/>
      <c r="C6" s="98"/>
      <c r="D6" s="89" t="s">
        <v>263</v>
      </c>
      <c r="E6" s="49">
        <v>4</v>
      </c>
      <c r="F6" s="53" t="s">
        <v>1</v>
      </c>
      <c r="G6" s="49">
        <v>7</v>
      </c>
      <c r="H6" s="53" t="s">
        <v>2</v>
      </c>
      <c r="I6" s="49">
        <v>10</v>
      </c>
      <c r="J6" s="53" t="s">
        <v>140</v>
      </c>
      <c r="K6" s="49">
        <v>4</v>
      </c>
      <c r="L6" s="53" t="s">
        <v>1</v>
      </c>
      <c r="M6" s="49">
        <v>4</v>
      </c>
      <c r="N6" s="53" t="s">
        <v>13</v>
      </c>
      <c r="O6" s="49">
        <v>5</v>
      </c>
      <c r="P6" s="53" t="s">
        <v>13</v>
      </c>
      <c r="Q6" s="49">
        <v>6</v>
      </c>
      <c r="R6" s="53" t="s">
        <v>3</v>
      </c>
      <c r="S6" s="49">
        <v>1</v>
      </c>
      <c r="T6" s="53" t="s">
        <v>1</v>
      </c>
      <c r="U6" s="49">
        <v>4</v>
      </c>
      <c r="V6" s="53" t="s">
        <v>2</v>
      </c>
      <c r="W6" s="49">
        <v>2</v>
      </c>
      <c r="X6" s="53" t="s">
        <v>3</v>
      </c>
    </row>
    <row r="7" spans="1:24" x14ac:dyDescent="0.25">
      <c r="A7" s="98"/>
      <c r="B7" s="98"/>
      <c r="C7" s="98"/>
      <c r="D7" s="89" t="s">
        <v>264</v>
      </c>
      <c r="E7" s="49">
        <v>5</v>
      </c>
      <c r="F7" s="53" t="s">
        <v>2</v>
      </c>
      <c r="G7" s="49">
        <v>5</v>
      </c>
      <c r="H7" s="53" t="s">
        <v>3</v>
      </c>
      <c r="I7" s="49">
        <v>8</v>
      </c>
      <c r="J7" s="53" t="s">
        <v>13</v>
      </c>
      <c r="K7" s="49">
        <v>2</v>
      </c>
      <c r="L7" s="53" t="s">
        <v>2</v>
      </c>
      <c r="M7" s="49">
        <v>2</v>
      </c>
      <c r="N7" s="53" t="s">
        <v>3</v>
      </c>
      <c r="O7" s="49">
        <v>3</v>
      </c>
      <c r="P7" s="53" t="s">
        <v>140</v>
      </c>
      <c r="Q7" s="49">
        <v>9</v>
      </c>
      <c r="R7" s="53" t="s">
        <v>5</v>
      </c>
      <c r="S7" s="49">
        <v>2</v>
      </c>
      <c r="T7" s="53" t="s">
        <v>2</v>
      </c>
      <c r="U7" s="49">
        <v>8</v>
      </c>
      <c r="V7" s="53" t="s">
        <v>1</v>
      </c>
      <c r="W7" s="49">
        <v>4</v>
      </c>
      <c r="X7" s="53" t="s">
        <v>13</v>
      </c>
    </row>
    <row r="8" spans="1:24" x14ac:dyDescent="0.25">
      <c r="A8" s="98"/>
      <c r="B8" s="98"/>
      <c r="C8" s="98"/>
      <c r="D8" s="89" t="s">
        <v>265</v>
      </c>
      <c r="E8" s="49">
        <v>6</v>
      </c>
      <c r="F8" s="53" t="s">
        <v>3</v>
      </c>
      <c r="G8" s="49">
        <v>5</v>
      </c>
      <c r="H8" s="53" t="s">
        <v>5</v>
      </c>
      <c r="I8" s="49">
        <v>7</v>
      </c>
      <c r="J8" s="53" t="s">
        <v>14</v>
      </c>
      <c r="K8" s="49">
        <v>7</v>
      </c>
      <c r="L8" s="53" t="s">
        <v>3</v>
      </c>
      <c r="M8" s="49">
        <v>3</v>
      </c>
      <c r="N8" s="53" t="s">
        <v>1</v>
      </c>
      <c r="O8" s="49">
        <v>4</v>
      </c>
      <c r="P8" s="53" t="s">
        <v>4</v>
      </c>
      <c r="Q8" s="49">
        <v>10</v>
      </c>
      <c r="R8" s="53" t="s">
        <v>4</v>
      </c>
      <c r="S8" s="49">
        <v>2</v>
      </c>
      <c r="T8" s="53" t="s">
        <v>3</v>
      </c>
      <c r="U8" s="49">
        <v>4</v>
      </c>
      <c r="V8" s="53" t="s">
        <v>4</v>
      </c>
      <c r="W8" s="49">
        <v>6</v>
      </c>
      <c r="X8" s="53" t="s">
        <v>144</v>
      </c>
    </row>
    <row r="9" spans="1:24" x14ac:dyDescent="0.25">
      <c r="A9" s="98"/>
      <c r="B9" s="98"/>
      <c r="C9" s="98"/>
      <c r="D9" s="89" t="s">
        <v>266</v>
      </c>
      <c r="E9" s="49">
        <v>4</v>
      </c>
      <c r="F9" s="53" t="s">
        <v>5</v>
      </c>
      <c r="G9" s="49">
        <v>5</v>
      </c>
      <c r="H9" s="53" t="s">
        <v>4</v>
      </c>
      <c r="I9" s="49">
        <v>5</v>
      </c>
      <c r="J9" s="53" t="s">
        <v>141</v>
      </c>
      <c r="K9" s="49">
        <v>5</v>
      </c>
      <c r="L9" s="53" t="s">
        <v>4</v>
      </c>
      <c r="M9" s="49">
        <v>5</v>
      </c>
      <c r="N9" s="53" t="s">
        <v>2</v>
      </c>
      <c r="O9" s="49">
        <v>5</v>
      </c>
      <c r="P9" s="53" t="s">
        <v>141</v>
      </c>
      <c r="Q9" s="49">
        <v>2</v>
      </c>
      <c r="R9" s="53" t="s">
        <v>13</v>
      </c>
      <c r="S9" s="49">
        <v>3</v>
      </c>
      <c r="T9" s="53" t="s">
        <v>5</v>
      </c>
      <c r="U9" s="49">
        <v>5</v>
      </c>
      <c r="V9" s="53" t="s">
        <v>13</v>
      </c>
      <c r="W9" s="49">
        <v>2</v>
      </c>
      <c r="X9" s="53" t="s">
        <v>4</v>
      </c>
    </row>
    <row r="10" spans="1:24" x14ac:dyDescent="0.25">
      <c r="A10" s="98"/>
      <c r="B10" s="98"/>
      <c r="C10" s="98"/>
      <c r="D10" s="89" t="s">
        <v>267</v>
      </c>
      <c r="E10" s="49">
        <v>2</v>
      </c>
      <c r="F10" s="53" t="s">
        <v>4</v>
      </c>
      <c r="G10" s="49">
        <v>4</v>
      </c>
      <c r="H10" s="53" t="s">
        <v>13</v>
      </c>
      <c r="I10" s="49">
        <v>4</v>
      </c>
      <c r="J10" s="53" t="s">
        <v>140</v>
      </c>
      <c r="K10" s="49">
        <v>4</v>
      </c>
      <c r="L10" s="53" t="s">
        <v>13</v>
      </c>
      <c r="M10" s="49">
        <v>1</v>
      </c>
      <c r="N10" s="53" t="s">
        <v>3</v>
      </c>
      <c r="O10" s="49">
        <v>4</v>
      </c>
      <c r="P10" s="53" t="s">
        <v>145</v>
      </c>
      <c r="Q10" s="49">
        <v>5</v>
      </c>
      <c r="R10" s="53" t="s">
        <v>14</v>
      </c>
      <c r="S10" s="49">
        <v>4</v>
      </c>
      <c r="T10" s="53" t="s">
        <v>4</v>
      </c>
      <c r="U10" s="49">
        <v>4</v>
      </c>
      <c r="V10" s="53" t="s">
        <v>0</v>
      </c>
      <c r="W10" s="48"/>
      <c r="X10" s="48"/>
    </row>
    <row r="11" spans="1:24" x14ac:dyDescent="0.25">
      <c r="A11" s="98"/>
      <c r="B11" s="98"/>
      <c r="C11" s="98"/>
      <c r="D11" s="89" t="s">
        <v>268</v>
      </c>
      <c r="E11" s="49">
        <v>3</v>
      </c>
      <c r="F11" s="53" t="s">
        <v>13</v>
      </c>
      <c r="G11" s="49">
        <v>3</v>
      </c>
      <c r="H11" s="53" t="s">
        <v>14</v>
      </c>
      <c r="I11" s="49">
        <v>2</v>
      </c>
      <c r="J11" s="53" t="s">
        <v>14</v>
      </c>
      <c r="K11" s="49">
        <v>3</v>
      </c>
      <c r="L11" s="53" t="s">
        <v>144</v>
      </c>
      <c r="M11" s="49">
        <v>2</v>
      </c>
      <c r="N11" s="53" t="s">
        <v>5</v>
      </c>
      <c r="O11" s="49">
        <v>3</v>
      </c>
      <c r="P11" s="53" t="s">
        <v>6</v>
      </c>
      <c r="Q11" s="48"/>
      <c r="R11" s="48"/>
      <c r="S11" s="49">
        <v>7</v>
      </c>
      <c r="T11" s="53" t="s">
        <v>13</v>
      </c>
      <c r="U11" s="48"/>
      <c r="V11" s="48"/>
      <c r="W11" s="48"/>
      <c r="X11" s="48"/>
    </row>
    <row r="12" spans="1:24" x14ac:dyDescent="0.25">
      <c r="A12" s="98"/>
      <c r="B12" s="98"/>
      <c r="C12" s="98"/>
      <c r="D12" s="89" t="s">
        <v>269</v>
      </c>
      <c r="E12" s="48"/>
      <c r="F12" s="48"/>
      <c r="G12" s="49">
        <v>2</v>
      </c>
      <c r="H12" s="53" t="s">
        <v>140</v>
      </c>
      <c r="I12" s="49">
        <v>5</v>
      </c>
      <c r="J12" s="53" t="s">
        <v>142</v>
      </c>
      <c r="K12" s="48"/>
      <c r="L12" s="48"/>
      <c r="M12" s="48"/>
      <c r="N12" s="48"/>
      <c r="O12" s="49">
        <v>4</v>
      </c>
      <c r="P12" s="53" t="s">
        <v>5</v>
      </c>
      <c r="Q12" s="48"/>
      <c r="R12" s="48"/>
      <c r="S12" s="49">
        <v>8</v>
      </c>
      <c r="T12" s="53" t="s">
        <v>14</v>
      </c>
      <c r="U12" s="48"/>
      <c r="V12" s="48"/>
      <c r="W12" s="48"/>
      <c r="X12" s="48"/>
    </row>
    <row r="13" spans="1:24" x14ac:dyDescent="0.25">
      <c r="A13" s="98"/>
      <c r="B13" s="98"/>
      <c r="C13" s="98"/>
      <c r="D13" s="89" t="s">
        <v>270</v>
      </c>
      <c r="E13" s="48"/>
      <c r="F13" s="48"/>
      <c r="G13" s="48"/>
      <c r="H13" s="48"/>
      <c r="I13" s="49">
        <v>4</v>
      </c>
      <c r="J13" s="53" t="s">
        <v>143</v>
      </c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</row>
    <row r="14" spans="1:24" x14ac:dyDescent="0.25">
      <c r="A14" s="98"/>
      <c r="B14" s="98"/>
      <c r="C14" s="98"/>
      <c r="D14" s="89" t="s">
        <v>271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</row>
    <row r="15" spans="1:24" x14ac:dyDescent="0.25">
      <c r="A15" s="98"/>
      <c r="B15" s="98"/>
      <c r="C15" s="98"/>
      <c r="D15" s="89" t="s">
        <v>272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</row>
    <row r="16" spans="1:24" x14ac:dyDescent="0.25">
      <c r="A16" s="98"/>
      <c r="B16" s="98"/>
      <c r="C16" s="98"/>
      <c r="D16" s="89" t="s">
        <v>273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</row>
    <row r="17" spans="1:24" x14ac:dyDescent="0.25">
      <c r="A17" s="98"/>
      <c r="B17" s="98"/>
      <c r="C17" s="98"/>
      <c r="D17" s="89" t="s">
        <v>274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</row>
    <row r="18" spans="1:24" x14ac:dyDescent="0.25">
      <c r="A18" s="98"/>
      <c r="B18" s="98"/>
      <c r="C18" s="98"/>
      <c r="D18" s="89" t="s">
        <v>275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</row>
    <row r="19" spans="1:24" x14ac:dyDescent="0.25">
      <c r="A19" s="98"/>
      <c r="B19" s="98"/>
      <c r="C19" s="98"/>
      <c r="D19" s="89" t="s">
        <v>276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</row>
    <row r="20" spans="1:24" x14ac:dyDescent="0.25">
      <c r="A20" s="98"/>
      <c r="B20" s="98"/>
      <c r="C20" s="98"/>
      <c r="D20" s="89" t="s">
        <v>277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</row>
    <row r="21" spans="1:24" x14ac:dyDescent="0.25">
      <c r="A21" s="98"/>
      <c r="B21" s="98"/>
      <c r="C21" s="98"/>
      <c r="D21" s="89" t="s">
        <v>278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</row>
    <row r="22" spans="1:24" x14ac:dyDescent="0.25">
      <c r="A22" s="98"/>
      <c r="B22" s="98"/>
      <c r="C22" s="98"/>
      <c r="D22" s="89" t="s">
        <v>279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</row>
    <row r="23" spans="1:24" x14ac:dyDescent="0.25">
      <c r="A23" s="98"/>
      <c r="B23" s="98"/>
      <c r="C23" s="98"/>
      <c r="D23" s="89" t="s">
        <v>280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</row>
    <row r="24" spans="1:24" x14ac:dyDescent="0.25">
      <c r="A24" s="98"/>
      <c r="B24" s="98"/>
      <c r="C24" s="98"/>
      <c r="D24" s="89" t="s">
        <v>281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</row>
    <row r="29" spans="1:24" s="46" customFormat="1" x14ac:dyDescent="0.25"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</row>
    <row r="30" spans="1:24" x14ac:dyDescent="0.25">
      <c r="J30" s="46"/>
      <c r="K30" s="24"/>
      <c r="L30" s="46"/>
      <c r="M30" s="46"/>
    </row>
    <row r="31" spans="1:24" x14ac:dyDescent="0.25">
      <c r="J31" s="46"/>
      <c r="K31" s="24"/>
      <c r="L31" s="46"/>
      <c r="M31" s="46"/>
    </row>
    <row r="32" spans="1:24" x14ac:dyDescent="0.25">
      <c r="J32" s="46"/>
      <c r="K32" s="24"/>
      <c r="L32" s="46"/>
      <c r="M32" s="46"/>
    </row>
    <row r="33" spans="10:13" x14ac:dyDescent="0.25">
      <c r="J33" s="46"/>
      <c r="K33" s="24"/>
      <c r="L33" s="46"/>
      <c r="M33" s="46"/>
    </row>
    <row r="34" spans="10:13" x14ac:dyDescent="0.25">
      <c r="J34" s="46"/>
      <c r="K34" s="24"/>
      <c r="L34" s="46"/>
      <c r="M34" s="46"/>
    </row>
    <row r="35" spans="10:13" x14ac:dyDescent="0.25">
      <c r="J35" s="46"/>
      <c r="K35" s="24"/>
      <c r="L35" s="46"/>
      <c r="M35" s="46"/>
    </row>
    <row r="36" spans="10:13" x14ac:dyDescent="0.25">
      <c r="J36" s="46"/>
      <c r="K36" s="24"/>
      <c r="L36" s="46"/>
      <c r="M36" s="46"/>
    </row>
    <row r="37" spans="10:13" x14ac:dyDescent="0.25">
      <c r="J37" s="46"/>
      <c r="K37" s="24"/>
      <c r="L37" s="46"/>
      <c r="M37" s="46"/>
    </row>
    <row r="38" spans="10:13" x14ac:dyDescent="0.25">
      <c r="J38" s="46"/>
      <c r="K38" s="24"/>
      <c r="L38" s="46"/>
      <c r="M38" s="46"/>
    </row>
    <row r="39" spans="10:13" x14ac:dyDescent="0.25">
      <c r="J39" s="46"/>
      <c r="K39" s="24"/>
      <c r="L39" s="46"/>
      <c r="M39" s="46"/>
    </row>
    <row r="40" spans="10:13" x14ac:dyDescent="0.25">
      <c r="J40" s="46"/>
      <c r="K40" s="46"/>
      <c r="L40" s="46"/>
      <c r="M40" s="46"/>
    </row>
    <row r="41" spans="10:13" x14ac:dyDescent="0.25">
      <c r="J41" s="46"/>
      <c r="K41" s="46"/>
      <c r="L41" s="46"/>
      <c r="M41" s="46"/>
    </row>
    <row r="42" spans="10:13" x14ac:dyDescent="0.25">
      <c r="J42" s="46"/>
      <c r="K42" s="46"/>
      <c r="L42" s="46"/>
      <c r="M42" s="46"/>
    </row>
  </sheetData>
  <mergeCells count="6">
    <mergeCell ref="A5:C24"/>
    <mergeCell ref="B1:D1"/>
    <mergeCell ref="E1:W1"/>
    <mergeCell ref="A3:D3"/>
    <mergeCell ref="A4:D4"/>
    <mergeCell ref="A2:D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8"/>
  <dimension ref="A1:X100"/>
  <sheetViews>
    <sheetView workbookViewId="0">
      <selection activeCell="J1" sqref="J1:J6"/>
    </sheetView>
  </sheetViews>
  <sheetFormatPr defaultRowHeight="15" x14ac:dyDescent="0.25"/>
  <cols>
    <col min="1" max="10" width="9.140625" style="39"/>
  </cols>
  <sheetData>
    <row r="1" spans="1:24" x14ac:dyDescent="0.25">
      <c r="A1" s="47" t="s">
        <v>15</v>
      </c>
      <c r="B1" s="47" t="s">
        <v>16</v>
      </c>
      <c r="C1" s="47" t="s">
        <v>17</v>
      </c>
      <c r="D1" s="47" t="s">
        <v>18</v>
      </c>
      <c r="E1" s="47" t="s">
        <v>19</v>
      </c>
      <c r="F1" s="47" t="s">
        <v>20</v>
      </c>
      <c r="G1" s="47" t="s">
        <v>21</v>
      </c>
      <c r="H1" s="47" t="s">
        <v>22</v>
      </c>
      <c r="I1" s="47" t="s">
        <v>23</v>
      </c>
      <c r="J1" s="47" t="s">
        <v>256</v>
      </c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</row>
    <row r="2" spans="1:24" x14ac:dyDescent="0.25">
      <c r="A2" s="52" t="s">
        <v>0</v>
      </c>
      <c r="B2" s="52" t="s">
        <v>0</v>
      </c>
      <c r="C2" s="52" t="s">
        <v>6</v>
      </c>
      <c r="D2" s="52" t="s">
        <v>0</v>
      </c>
      <c r="E2" s="52" t="s">
        <v>4</v>
      </c>
      <c r="F2" s="52" t="s">
        <v>143</v>
      </c>
      <c r="G2" s="52" t="s">
        <v>2</v>
      </c>
      <c r="H2" s="52" t="s">
        <v>0</v>
      </c>
      <c r="I2" s="52" t="s">
        <v>3</v>
      </c>
      <c r="J2" s="52" t="s">
        <v>2</v>
      </c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</row>
    <row r="3" spans="1:24" x14ac:dyDescent="0.25">
      <c r="A3" s="52" t="s">
        <v>1</v>
      </c>
      <c r="B3" s="52" t="s">
        <v>2</v>
      </c>
      <c r="C3" s="52" t="s">
        <v>140</v>
      </c>
      <c r="D3" s="52" t="s">
        <v>1</v>
      </c>
      <c r="E3" s="52" t="s">
        <v>13</v>
      </c>
      <c r="F3" s="52" t="s">
        <v>13</v>
      </c>
      <c r="G3" s="52" t="s">
        <v>3</v>
      </c>
      <c r="H3" s="52" t="s">
        <v>1</v>
      </c>
      <c r="I3" s="52" t="s">
        <v>2</v>
      </c>
      <c r="J3" s="52" t="s">
        <v>3</v>
      </c>
      <c r="K3" s="51"/>
      <c r="L3" s="51"/>
      <c r="M3" s="10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</row>
    <row r="4" spans="1:24" x14ac:dyDescent="0.25">
      <c r="A4" s="52" t="s">
        <v>2</v>
      </c>
      <c r="B4" s="52" t="s">
        <v>3</v>
      </c>
      <c r="C4" s="52" t="s">
        <v>13</v>
      </c>
      <c r="D4" s="52" t="s">
        <v>2</v>
      </c>
      <c r="E4" s="52" t="s">
        <v>3</v>
      </c>
      <c r="F4" s="52" t="s">
        <v>140</v>
      </c>
      <c r="G4" s="52" t="s">
        <v>5</v>
      </c>
      <c r="H4" s="52" t="s">
        <v>2</v>
      </c>
      <c r="I4" s="52" t="s">
        <v>1</v>
      </c>
      <c r="J4" s="52" t="s">
        <v>13</v>
      </c>
      <c r="K4" s="51"/>
      <c r="L4" s="51"/>
      <c r="M4" s="54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</row>
    <row r="5" spans="1:24" x14ac:dyDescent="0.25">
      <c r="A5" s="52" t="s">
        <v>3</v>
      </c>
      <c r="B5" s="52" t="s">
        <v>5</v>
      </c>
      <c r="C5" s="52" t="s">
        <v>14</v>
      </c>
      <c r="D5" s="52" t="s">
        <v>3</v>
      </c>
      <c r="E5" s="52" t="s">
        <v>1</v>
      </c>
      <c r="F5" s="52" t="s">
        <v>4</v>
      </c>
      <c r="G5" s="52" t="s">
        <v>4</v>
      </c>
      <c r="H5" s="52" t="s">
        <v>3</v>
      </c>
      <c r="I5" s="52" t="s">
        <v>4</v>
      </c>
      <c r="J5" s="52" t="s">
        <v>144</v>
      </c>
      <c r="K5" s="51"/>
      <c r="L5" s="51"/>
      <c r="M5" s="54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</row>
    <row r="6" spans="1:24" x14ac:dyDescent="0.25">
      <c r="A6" s="52" t="s">
        <v>5</v>
      </c>
      <c r="B6" s="52" t="s">
        <v>4</v>
      </c>
      <c r="C6" s="52" t="s">
        <v>141</v>
      </c>
      <c r="D6" s="52" t="s">
        <v>4</v>
      </c>
      <c r="E6" s="52" t="s">
        <v>2</v>
      </c>
      <c r="F6" s="52" t="s">
        <v>141</v>
      </c>
      <c r="G6" s="52" t="s">
        <v>13</v>
      </c>
      <c r="H6" s="52" t="s">
        <v>5</v>
      </c>
      <c r="I6" s="52" t="s">
        <v>13</v>
      </c>
      <c r="J6" s="52" t="s">
        <v>4</v>
      </c>
      <c r="K6" s="51"/>
      <c r="L6" s="51"/>
      <c r="M6" s="54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</row>
    <row r="7" spans="1:24" x14ac:dyDescent="0.25">
      <c r="A7" s="52" t="s">
        <v>4</v>
      </c>
      <c r="B7" s="52" t="s">
        <v>13</v>
      </c>
      <c r="C7" s="52" t="s">
        <v>140</v>
      </c>
      <c r="D7" s="52" t="s">
        <v>13</v>
      </c>
      <c r="E7" s="52" t="s">
        <v>3</v>
      </c>
      <c r="F7" s="52" t="s">
        <v>145</v>
      </c>
      <c r="G7" s="52" t="s">
        <v>14</v>
      </c>
      <c r="H7" s="52" t="s">
        <v>4</v>
      </c>
      <c r="I7" s="52" t="s">
        <v>0</v>
      </c>
      <c r="J7" s="52"/>
      <c r="K7" s="51"/>
      <c r="L7" s="51"/>
      <c r="M7" s="54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</row>
    <row r="8" spans="1:24" x14ac:dyDescent="0.25">
      <c r="A8" s="52" t="s">
        <v>13</v>
      </c>
      <c r="B8" s="52" t="s">
        <v>14</v>
      </c>
      <c r="C8" s="52" t="s">
        <v>14</v>
      </c>
      <c r="D8" s="52" t="s">
        <v>144</v>
      </c>
      <c r="E8" s="52" t="s">
        <v>5</v>
      </c>
      <c r="F8" s="52" t="s">
        <v>6</v>
      </c>
      <c r="G8" s="52"/>
      <c r="H8" s="52" t="s">
        <v>13</v>
      </c>
      <c r="I8" s="52"/>
      <c r="J8" s="52"/>
      <c r="K8" s="51"/>
      <c r="L8" s="51"/>
      <c r="M8" s="54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</row>
    <row r="9" spans="1:24" x14ac:dyDescent="0.25">
      <c r="A9" s="52"/>
      <c r="B9" s="52" t="s">
        <v>140</v>
      </c>
      <c r="C9" s="52" t="s">
        <v>142</v>
      </c>
      <c r="D9" s="48"/>
      <c r="E9" s="52"/>
      <c r="F9" s="52" t="s">
        <v>5</v>
      </c>
      <c r="G9" s="52"/>
      <c r="H9" s="52" t="s">
        <v>14</v>
      </c>
      <c r="I9" s="52"/>
      <c r="J9" s="52"/>
      <c r="K9" s="51"/>
      <c r="L9" s="51"/>
      <c r="M9" s="54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</row>
    <row r="10" spans="1:24" x14ac:dyDescent="0.25">
      <c r="A10" s="52"/>
      <c r="B10" s="52"/>
      <c r="C10" s="52" t="s">
        <v>143</v>
      </c>
      <c r="D10" s="48"/>
      <c r="E10" s="52"/>
      <c r="F10" s="52"/>
      <c r="G10" s="52"/>
      <c r="H10" s="52"/>
      <c r="I10" s="52"/>
      <c r="J10" s="52"/>
      <c r="K10" s="51"/>
      <c r="L10" s="51"/>
      <c r="M10" s="54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</row>
    <row r="11" spans="1:24" x14ac:dyDescent="0.25">
      <c r="A11" s="52"/>
      <c r="B11" s="52"/>
      <c r="C11" s="52"/>
      <c r="D11" s="48"/>
      <c r="E11" s="52"/>
      <c r="F11" s="52"/>
      <c r="G11" s="52"/>
      <c r="H11" s="52"/>
      <c r="I11" s="52"/>
      <c r="J11" s="52"/>
      <c r="K11" s="51"/>
      <c r="L11" s="51"/>
      <c r="M11" s="54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</row>
    <row r="12" spans="1:24" x14ac:dyDescent="0.25">
      <c r="A12" s="52"/>
      <c r="B12" s="52"/>
      <c r="C12" s="52"/>
      <c r="D12" s="48"/>
      <c r="E12" s="52"/>
      <c r="F12" s="52"/>
      <c r="G12" s="52"/>
      <c r="H12" s="52"/>
      <c r="I12" s="52"/>
      <c r="J12" s="52"/>
      <c r="K12" s="51"/>
      <c r="L12" s="51"/>
      <c r="M12" s="54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</row>
    <row r="13" spans="1:24" x14ac:dyDescent="0.25">
      <c r="A13" s="52"/>
      <c r="B13" s="52"/>
      <c r="C13" s="52"/>
      <c r="D13" s="48"/>
      <c r="E13" s="52"/>
      <c r="F13" s="52"/>
      <c r="G13" s="52"/>
      <c r="H13" s="52"/>
      <c r="I13" s="52"/>
      <c r="J13" s="52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</row>
    <row r="14" spans="1:24" x14ac:dyDescent="0.25">
      <c r="A14" s="52"/>
      <c r="B14" s="52"/>
      <c r="C14" s="52"/>
      <c r="D14" s="48"/>
      <c r="E14" s="52"/>
      <c r="F14" s="52"/>
      <c r="G14" s="52"/>
      <c r="H14" s="52"/>
      <c r="I14" s="52"/>
      <c r="J14" s="52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</row>
    <row r="15" spans="1:24" x14ac:dyDescent="0.25">
      <c r="A15" s="52"/>
      <c r="B15" s="52"/>
      <c r="C15" s="52"/>
      <c r="D15" s="48"/>
      <c r="E15" s="52"/>
      <c r="F15" s="52"/>
      <c r="G15" s="52"/>
      <c r="H15" s="52"/>
      <c r="I15" s="52"/>
      <c r="J15" s="52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</row>
    <row r="16" spans="1:24" x14ac:dyDescent="0.25">
      <c r="A16" s="52"/>
      <c r="B16" s="52"/>
      <c r="C16" s="52"/>
      <c r="D16" s="48"/>
      <c r="E16" s="52"/>
      <c r="F16" s="52"/>
      <c r="G16" s="52"/>
      <c r="H16" s="52"/>
      <c r="I16" s="52"/>
      <c r="J16" s="52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</row>
    <row r="17" spans="1:24" x14ac:dyDescent="0.25">
      <c r="A17" s="52"/>
      <c r="B17" s="52"/>
      <c r="C17" s="52"/>
      <c r="D17" s="48"/>
      <c r="E17" s="52"/>
      <c r="F17" s="52"/>
      <c r="G17" s="52"/>
      <c r="H17" s="52"/>
      <c r="I17" s="52"/>
      <c r="J17" s="52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</row>
    <row r="18" spans="1:24" x14ac:dyDescent="0.25">
      <c r="A18" s="52"/>
      <c r="B18" s="52"/>
      <c r="C18" s="52"/>
      <c r="D18" s="48"/>
      <c r="E18" s="52"/>
      <c r="F18" s="52"/>
      <c r="G18" s="52"/>
      <c r="H18" s="52"/>
      <c r="I18" s="52"/>
      <c r="J18" s="52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</row>
    <row r="19" spans="1:24" x14ac:dyDescent="0.25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</row>
    <row r="20" spans="1:24" x14ac:dyDescent="0.2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</row>
    <row r="21" spans="1:24" x14ac:dyDescent="0.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</row>
    <row r="22" spans="1:24" x14ac:dyDescent="0.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</row>
    <row r="23" spans="1:24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</row>
    <row r="24" spans="1:24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</row>
    <row r="25" spans="1:24" x14ac:dyDescent="0.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</row>
    <row r="26" spans="1:24" x14ac:dyDescent="0.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</row>
    <row r="27" spans="1:24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</row>
    <row r="28" spans="1:24" x14ac:dyDescent="0.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</row>
    <row r="29" spans="1:24" x14ac:dyDescent="0.2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</row>
    <row r="30" spans="1:24" x14ac:dyDescent="0.25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</row>
    <row r="31" spans="1:24" x14ac:dyDescent="0.25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</row>
    <row r="32" spans="1:24" x14ac:dyDescent="0.25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</row>
    <row r="33" spans="1:24" x14ac:dyDescent="0.25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</row>
    <row r="34" spans="1:24" x14ac:dyDescent="0.25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</row>
    <row r="35" spans="1:24" x14ac:dyDescent="0.25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</row>
    <row r="36" spans="1:24" x14ac:dyDescent="0.25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</row>
    <row r="37" spans="1:24" x14ac:dyDescent="0.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</row>
    <row r="38" spans="1:24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</row>
    <row r="39" spans="1:24" x14ac:dyDescent="0.25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</row>
    <row r="40" spans="1:24" x14ac:dyDescent="0.2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</row>
    <row r="41" spans="1:24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</row>
    <row r="42" spans="1:24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</row>
    <row r="43" spans="1:24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</row>
    <row r="44" spans="1:24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</row>
    <row r="45" spans="1:24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</row>
    <row r="46" spans="1:24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</row>
    <row r="47" spans="1:24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</row>
    <row r="48" spans="1:24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</row>
    <row r="49" spans="1:24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</row>
    <row r="50" spans="1:24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</row>
    <row r="51" spans="1:24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</row>
    <row r="52" spans="1:24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</row>
    <row r="53" spans="1:24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</row>
    <row r="54" spans="1:24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</row>
    <row r="55" spans="1:24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</row>
    <row r="56" spans="1:24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</row>
    <row r="57" spans="1:24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</row>
    <row r="58" spans="1:24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</row>
    <row r="59" spans="1:24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</row>
    <row r="60" spans="1:24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</row>
    <row r="61" spans="1:24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</row>
    <row r="62" spans="1:24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</row>
    <row r="63" spans="1:24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</row>
    <row r="64" spans="1:24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</row>
    <row r="65" spans="1:24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</row>
    <row r="66" spans="1:24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</row>
    <row r="67" spans="1:24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</row>
    <row r="68" spans="1:24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</row>
    <row r="69" spans="1:24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</row>
    <row r="70" spans="1:24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</row>
    <row r="71" spans="1:24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</row>
    <row r="72" spans="1:24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</row>
    <row r="73" spans="1:24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</row>
    <row r="74" spans="1:24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</row>
    <row r="75" spans="1:24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</row>
    <row r="76" spans="1:24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</row>
    <row r="77" spans="1:24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</row>
    <row r="78" spans="1:24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</row>
    <row r="79" spans="1:24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</row>
    <row r="80" spans="1:24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</row>
    <row r="81" spans="1:24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</row>
    <row r="82" spans="1:24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</row>
    <row r="83" spans="1:24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</row>
    <row r="84" spans="1:24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</row>
    <row r="85" spans="1:24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</row>
    <row r="86" spans="1:24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</row>
    <row r="87" spans="1:24" x14ac:dyDescent="0.2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</row>
    <row r="88" spans="1:24" x14ac:dyDescent="0.2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</row>
    <row r="89" spans="1:24" x14ac:dyDescent="0.2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</row>
    <row r="90" spans="1:24" x14ac:dyDescent="0.25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</row>
    <row r="91" spans="1:24" x14ac:dyDescent="0.25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</row>
    <row r="92" spans="1:24" x14ac:dyDescent="0.25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</row>
    <row r="93" spans="1:24" x14ac:dyDescent="0.25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</row>
    <row r="94" spans="1:24" x14ac:dyDescent="0.25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</row>
    <row r="95" spans="1:24" x14ac:dyDescent="0.25">
      <c r="A95" s="52"/>
      <c r="B95" s="52"/>
      <c r="C95" s="52"/>
      <c r="D95" s="52"/>
      <c r="E95" s="52"/>
      <c r="F95" s="52"/>
      <c r="G95" s="52"/>
      <c r="H95" s="52"/>
      <c r="I95" s="52"/>
      <c r="J95" s="52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</row>
    <row r="96" spans="1:24" x14ac:dyDescent="0.25">
      <c r="A96" s="52"/>
      <c r="B96" s="52"/>
      <c r="C96" s="52"/>
      <c r="D96" s="52"/>
      <c r="E96" s="52"/>
      <c r="F96" s="52"/>
      <c r="G96" s="52"/>
      <c r="H96" s="52"/>
      <c r="I96" s="52"/>
      <c r="J96" s="52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</row>
    <row r="97" spans="1:24" x14ac:dyDescent="0.25">
      <c r="A97" s="52"/>
      <c r="B97" s="52"/>
      <c r="C97" s="52"/>
      <c r="D97" s="52"/>
      <c r="E97" s="52"/>
      <c r="F97" s="52"/>
      <c r="G97" s="52"/>
      <c r="H97" s="52"/>
      <c r="I97" s="52"/>
      <c r="J97" s="52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</row>
    <row r="98" spans="1:24" x14ac:dyDescent="0.25">
      <c r="A98" s="52"/>
      <c r="B98" s="52"/>
      <c r="C98" s="52"/>
      <c r="D98" s="52"/>
      <c r="E98" s="52"/>
      <c r="F98" s="52"/>
      <c r="G98" s="52"/>
      <c r="H98" s="52"/>
      <c r="I98" s="52"/>
      <c r="J98" s="52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</row>
    <row r="99" spans="1:24" x14ac:dyDescent="0.25">
      <c r="A99" s="52"/>
      <c r="B99" s="52"/>
      <c r="C99" s="52"/>
      <c r="D99" s="52"/>
      <c r="E99" s="52"/>
      <c r="F99" s="52"/>
      <c r="G99" s="52"/>
      <c r="H99" s="52"/>
      <c r="I99" s="52"/>
      <c r="J99" s="52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</row>
    <row r="100" spans="1:24" x14ac:dyDescent="0.25">
      <c r="A100" s="52"/>
      <c r="B100" s="52"/>
      <c r="C100" s="52"/>
      <c r="D100" s="52"/>
      <c r="E100" s="52"/>
      <c r="F100" s="52"/>
      <c r="G100" s="52"/>
      <c r="H100" s="52"/>
      <c r="I100" s="52"/>
      <c r="J100" s="52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1:X100"/>
  <sheetViews>
    <sheetView workbookViewId="0">
      <selection activeCell="D19" sqref="D19"/>
    </sheetView>
  </sheetViews>
  <sheetFormatPr defaultRowHeight="15" x14ac:dyDescent="0.25"/>
  <cols>
    <col min="1" max="9" width="11" style="47" bestFit="1" customWidth="1"/>
    <col min="10" max="10" width="12" style="47" bestFit="1" customWidth="1"/>
    <col min="11" max="16384" width="9.140625" style="24"/>
  </cols>
  <sheetData>
    <row r="1" spans="1:24" s="45" customFormat="1" x14ac:dyDescent="0.25">
      <c r="A1" s="48" t="s">
        <v>15</v>
      </c>
      <c r="B1" s="48" t="s">
        <v>16</v>
      </c>
      <c r="C1" s="48" t="s">
        <v>17</v>
      </c>
      <c r="D1" s="48" t="s">
        <v>18</v>
      </c>
      <c r="E1" s="48" t="s">
        <v>19</v>
      </c>
      <c r="F1" s="48" t="s">
        <v>20</v>
      </c>
      <c r="G1" s="48" t="s">
        <v>21</v>
      </c>
      <c r="H1" s="48" t="s">
        <v>22</v>
      </c>
      <c r="I1" s="48" t="s">
        <v>23</v>
      </c>
      <c r="J1" s="48" t="s">
        <v>256</v>
      </c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</row>
    <row r="2" spans="1:24" x14ac:dyDescent="0.25">
      <c r="A2" s="48">
        <v>450</v>
      </c>
      <c r="B2" s="48">
        <v>500</v>
      </c>
      <c r="C2" s="48">
        <v>2500</v>
      </c>
      <c r="D2" s="48">
        <v>800</v>
      </c>
      <c r="E2" s="48">
        <v>15</v>
      </c>
      <c r="F2" s="48">
        <v>2000</v>
      </c>
      <c r="G2" s="48">
        <v>480</v>
      </c>
      <c r="H2" s="48">
        <v>500</v>
      </c>
      <c r="I2" s="48">
        <v>1200</v>
      </c>
      <c r="J2" s="48">
        <v>500</v>
      </c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</row>
    <row r="3" spans="1:24" x14ac:dyDescent="0.25">
      <c r="A3" s="48">
        <v>1200</v>
      </c>
      <c r="B3" s="48">
        <v>800</v>
      </c>
      <c r="C3" s="48">
        <v>3000</v>
      </c>
      <c r="D3" s="48">
        <v>900</v>
      </c>
      <c r="E3" s="48">
        <v>350</v>
      </c>
      <c r="F3" s="48">
        <v>5000</v>
      </c>
      <c r="G3" s="48">
        <v>2500</v>
      </c>
      <c r="H3" s="48">
        <v>1000</v>
      </c>
      <c r="I3" s="48">
        <v>5000</v>
      </c>
      <c r="J3" s="48">
        <v>1500</v>
      </c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</row>
    <row r="4" spans="1:24" x14ac:dyDescent="0.25">
      <c r="A4" s="48">
        <v>2</v>
      </c>
      <c r="B4" s="48">
        <v>6</v>
      </c>
      <c r="C4" s="48">
        <v>6</v>
      </c>
      <c r="D4" s="48">
        <v>6</v>
      </c>
      <c r="E4" s="48">
        <v>6</v>
      </c>
      <c r="F4" s="48">
        <v>2</v>
      </c>
      <c r="G4" s="48">
        <v>7</v>
      </c>
      <c r="H4" s="48">
        <v>3</v>
      </c>
      <c r="I4" s="48">
        <v>6</v>
      </c>
      <c r="J4" s="48">
        <v>5</v>
      </c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</row>
    <row r="5" spans="1:24" x14ac:dyDescent="0.25">
      <c r="A5" s="48">
        <v>4</v>
      </c>
      <c r="B5" s="48">
        <v>7</v>
      </c>
      <c r="C5" s="48">
        <v>10</v>
      </c>
      <c r="D5" s="48">
        <v>4</v>
      </c>
      <c r="E5" s="48">
        <v>4</v>
      </c>
      <c r="F5" s="48">
        <v>5</v>
      </c>
      <c r="G5" s="48">
        <v>6</v>
      </c>
      <c r="H5" s="48">
        <v>1</v>
      </c>
      <c r="I5" s="48">
        <v>4</v>
      </c>
      <c r="J5" s="48">
        <v>2</v>
      </c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</row>
    <row r="6" spans="1:24" x14ac:dyDescent="0.25">
      <c r="A6" s="48">
        <v>5</v>
      </c>
      <c r="B6" s="48">
        <v>5</v>
      </c>
      <c r="C6" s="48">
        <v>8</v>
      </c>
      <c r="D6" s="48">
        <v>2</v>
      </c>
      <c r="E6" s="48">
        <v>2</v>
      </c>
      <c r="F6" s="48">
        <v>3</v>
      </c>
      <c r="G6" s="48">
        <v>9</v>
      </c>
      <c r="H6" s="48">
        <v>2</v>
      </c>
      <c r="I6" s="48">
        <v>8</v>
      </c>
      <c r="J6" s="48">
        <v>4</v>
      </c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</row>
    <row r="7" spans="1:24" x14ac:dyDescent="0.25">
      <c r="A7" s="48">
        <v>6</v>
      </c>
      <c r="B7" s="48">
        <v>5</v>
      </c>
      <c r="C7" s="48">
        <v>7</v>
      </c>
      <c r="D7" s="48">
        <v>7</v>
      </c>
      <c r="E7" s="48">
        <v>3</v>
      </c>
      <c r="F7" s="48">
        <v>4</v>
      </c>
      <c r="G7" s="48">
        <v>10</v>
      </c>
      <c r="H7" s="48">
        <v>2</v>
      </c>
      <c r="I7" s="48">
        <v>4</v>
      </c>
      <c r="J7" s="48">
        <v>6</v>
      </c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</row>
    <row r="8" spans="1:24" x14ac:dyDescent="0.25">
      <c r="A8" s="48">
        <v>4</v>
      </c>
      <c r="B8" s="48">
        <v>5</v>
      </c>
      <c r="C8" s="48">
        <v>5</v>
      </c>
      <c r="D8" s="48">
        <v>5</v>
      </c>
      <c r="E8" s="48">
        <v>5</v>
      </c>
      <c r="F8" s="48">
        <v>5</v>
      </c>
      <c r="G8" s="48">
        <v>2</v>
      </c>
      <c r="H8" s="48">
        <v>3</v>
      </c>
      <c r="I8" s="48">
        <v>5</v>
      </c>
      <c r="J8" s="48">
        <v>2</v>
      </c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</row>
    <row r="9" spans="1:24" x14ac:dyDescent="0.25">
      <c r="A9" s="48">
        <v>2</v>
      </c>
      <c r="B9" s="48">
        <v>4</v>
      </c>
      <c r="C9" s="48">
        <v>4</v>
      </c>
      <c r="D9" s="48">
        <v>4</v>
      </c>
      <c r="E9" s="48">
        <v>1</v>
      </c>
      <c r="F9" s="48">
        <v>4</v>
      </c>
      <c r="G9" s="48">
        <v>5</v>
      </c>
      <c r="H9" s="48">
        <v>4</v>
      </c>
      <c r="I9" s="48">
        <v>4</v>
      </c>
      <c r="J9" s="48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</row>
    <row r="10" spans="1:24" x14ac:dyDescent="0.25">
      <c r="A10" s="48">
        <v>3</v>
      </c>
      <c r="B10" s="48">
        <v>3</v>
      </c>
      <c r="C10" s="48">
        <v>2</v>
      </c>
      <c r="D10" s="48">
        <v>3</v>
      </c>
      <c r="E10" s="48">
        <v>2</v>
      </c>
      <c r="F10" s="48">
        <v>3</v>
      </c>
      <c r="G10" s="48"/>
      <c r="H10" s="48">
        <v>7</v>
      </c>
      <c r="I10" s="48"/>
      <c r="J10" s="48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</row>
    <row r="11" spans="1:24" x14ac:dyDescent="0.25">
      <c r="A11" s="48"/>
      <c r="B11" s="48">
        <v>2</v>
      </c>
      <c r="C11" s="48">
        <v>5</v>
      </c>
      <c r="D11" s="48"/>
      <c r="E11" s="48"/>
      <c r="F11" s="48">
        <v>4</v>
      </c>
      <c r="G11" s="48"/>
      <c r="H11" s="48">
        <v>8</v>
      </c>
      <c r="I11" s="48"/>
      <c r="J11" s="48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</row>
    <row r="12" spans="1:24" x14ac:dyDescent="0.25">
      <c r="A12" s="48"/>
      <c r="B12" s="48"/>
      <c r="C12" s="48">
        <v>4</v>
      </c>
      <c r="D12" s="48"/>
      <c r="E12" s="48"/>
      <c r="F12" s="48"/>
      <c r="G12" s="48"/>
      <c r="H12" s="48"/>
      <c r="I12" s="48"/>
      <c r="J12" s="48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</row>
    <row r="13" spans="1:24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</row>
    <row r="14" spans="1:24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</row>
    <row r="15" spans="1:24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</row>
    <row r="16" spans="1:24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</row>
    <row r="17" spans="1:24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</row>
    <row r="18" spans="1:24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</row>
    <row r="19" spans="1:24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</row>
    <row r="20" spans="1:24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</row>
    <row r="21" spans="1:24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</row>
    <row r="22" spans="1:24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</row>
    <row r="23" spans="1:24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</row>
    <row r="24" spans="1:24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</row>
    <row r="25" spans="1:24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</row>
    <row r="26" spans="1:24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</row>
    <row r="27" spans="1:24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</row>
    <row r="28" spans="1:24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</row>
    <row r="29" spans="1:24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</row>
    <row r="30" spans="1:24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</row>
    <row r="31" spans="1:24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</row>
    <row r="32" spans="1:24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</row>
    <row r="33" spans="1:24" x14ac:dyDescent="0.2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</row>
    <row r="34" spans="1:24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</row>
    <row r="35" spans="1:24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</row>
    <row r="36" spans="1:24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</row>
    <row r="37" spans="1:24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</row>
    <row r="38" spans="1:24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</row>
    <row r="39" spans="1:24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</row>
    <row r="40" spans="1:24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</row>
    <row r="41" spans="1:24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</row>
    <row r="42" spans="1:24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</row>
    <row r="43" spans="1:24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</row>
    <row r="44" spans="1:24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</row>
    <row r="45" spans="1:24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</row>
    <row r="46" spans="1:24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</row>
    <row r="47" spans="1:24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</row>
    <row r="48" spans="1:24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</row>
    <row r="49" spans="1:24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</row>
    <row r="50" spans="1:24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</row>
    <row r="51" spans="1:24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</row>
    <row r="52" spans="1:24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</row>
    <row r="53" spans="1:24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</row>
    <row r="54" spans="1:24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</row>
    <row r="55" spans="1:24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</row>
    <row r="56" spans="1:24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</row>
    <row r="57" spans="1:24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</row>
    <row r="58" spans="1:24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</row>
    <row r="59" spans="1:24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</row>
    <row r="60" spans="1:24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</row>
    <row r="61" spans="1:24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</row>
    <row r="62" spans="1:24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</row>
    <row r="63" spans="1:24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</row>
    <row r="64" spans="1:24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</row>
    <row r="65" spans="1:24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</row>
    <row r="66" spans="1:24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</row>
    <row r="67" spans="1:24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</row>
    <row r="68" spans="1:24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</row>
    <row r="69" spans="1:24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</row>
    <row r="70" spans="1:24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</row>
    <row r="71" spans="1:24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</row>
    <row r="72" spans="1:24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</row>
    <row r="73" spans="1:24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</row>
    <row r="74" spans="1:24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</row>
    <row r="75" spans="1:24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</row>
    <row r="76" spans="1:24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</row>
    <row r="77" spans="1:24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</row>
    <row r="78" spans="1:24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</row>
    <row r="79" spans="1:24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</row>
    <row r="80" spans="1:24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</row>
    <row r="81" spans="1:24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</row>
    <row r="82" spans="1:24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</row>
    <row r="83" spans="1:24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</row>
    <row r="84" spans="1:24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</row>
    <row r="85" spans="1:24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</row>
    <row r="86" spans="1:24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</row>
    <row r="87" spans="1:24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</row>
    <row r="88" spans="1:24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</row>
    <row r="89" spans="1:24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</row>
    <row r="90" spans="1:24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</row>
    <row r="91" spans="1:24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</row>
    <row r="92" spans="1:24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</row>
    <row r="93" spans="1:24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</row>
    <row r="94" spans="1:24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</row>
    <row r="95" spans="1:24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</row>
    <row r="96" spans="1:24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</row>
    <row r="97" spans="1:24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</row>
    <row r="98" spans="1:24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</row>
    <row r="99" spans="1:24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</row>
    <row r="100" spans="1:24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5"/>
  <dimension ref="A1:N42"/>
  <sheetViews>
    <sheetView zoomScale="85" zoomScaleNormal="85" workbookViewId="0">
      <selection activeCell="H34" sqref="H34"/>
    </sheetView>
  </sheetViews>
  <sheetFormatPr defaultRowHeight="15" x14ac:dyDescent="0.25"/>
  <cols>
    <col min="1" max="4" width="9.140625" style="36"/>
    <col min="5" max="5" width="12.5703125" style="36" customWidth="1"/>
    <col min="6" max="16384" width="9.140625" style="36"/>
  </cols>
  <sheetData>
    <row r="1" spans="1:14" x14ac:dyDescent="0.25">
      <c r="A1" s="36" t="s">
        <v>284</v>
      </c>
      <c r="B1" s="36" t="s">
        <v>258</v>
      </c>
      <c r="C1" s="36" t="s">
        <v>255</v>
      </c>
      <c r="D1" s="36" t="s">
        <v>245</v>
      </c>
      <c r="E1" s="36" t="s">
        <v>246</v>
      </c>
      <c r="F1" s="36" t="s">
        <v>247</v>
      </c>
      <c r="G1" s="36" t="s">
        <v>248</v>
      </c>
      <c r="H1" s="36" t="s">
        <v>249</v>
      </c>
      <c r="I1" s="36" t="s">
        <v>250</v>
      </c>
      <c r="J1" s="36" t="s">
        <v>251</v>
      </c>
      <c r="K1" s="36" t="s">
        <v>252</v>
      </c>
      <c r="L1" s="36" t="s">
        <v>253</v>
      </c>
      <c r="M1" s="36" t="s">
        <v>254</v>
      </c>
    </row>
    <row r="2" spans="1:14" x14ac:dyDescent="0.25">
      <c r="A2" s="36">
        <v>1</v>
      </c>
      <c r="B2" s="36">
        <v>930</v>
      </c>
      <c r="C2" s="36">
        <v>270</v>
      </c>
      <c r="D2" s="36">
        <v>1200</v>
      </c>
      <c r="E2" s="36">
        <v>4</v>
      </c>
      <c r="F2" s="36">
        <v>7</v>
      </c>
      <c r="G2" s="36">
        <v>9</v>
      </c>
      <c r="H2" s="36">
        <v>10</v>
      </c>
      <c r="I2" s="36">
        <v>7</v>
      </c>
      <c r="J2" s="36">
        <v>4</v>
      </c>
      <c r="K2" s="36">
        <v>5</v>
      </c>
      <c r="N2"/>
    </row>
    <row r="3" spans="1:14" x14ac:dyDescent="0.25">
      <c r="A3" s="36">
        <v>2</v>
      </c>
      <c r="B3" s="36">
        <v>383</v>
      </c>
      <c r="C3" s="36">
        <v>417</v>
      </c>
      <c r="D3" s="36">
        <v>800</v>
      </c>
      <c r="E3" s="36">
        <v>8</v>
      </c>
      <c r="F3" s="36">
        <v>9</v>
      </c>
      <c r="G3" s="36">
        <v>6</v>
      </c>
      <c r="H3" s="36">
        <v>6</v>
      </c>
      <c r="I3" s="36">
        <v>6</v>
      </c>
      <c r="J3" s="36">
        <v>5</v>
      </c>
      <c r="K3" s="36">
        <v>4</v>
      </c>
      <c r="L3" s="36">
        <v>3</v>
      </c>
      <c r="N3"/>
    </row>
    <row r="4" spans="1:14" x14ac:dyDescent="0.25">
      <c r="A4" s="36">
        <v>3</v>
      </c>
      <c r="B4" s="36">
        <v>222</v>
      </c>
      <c r="C4" s="36">
        <v>2778</v>
      </c>
      <c r="D4" s="36">
        <v>3000</v>
      </c>
      <c r="E4" s="36">
        <v>6</v>
      </c>
      <c r="F4" s="36">
        <v>9</v>
      </c>
      <c r="G4" s="36">
        <v>8</v>
      </c>
      <c r="H4" s="36">
        <v>7</v>
      </c>
      <c r="I4" s="36">
        <v>5</v>
      </c>
      <c r="J4" s="36">
        <v>4</v>
      </c>
      <c r="K4" s="36">
        <v>2</v>
      </c>
      <c r="L4" s="36">
        <v>5</v>
      </c>
      <c r="M4" s="36">
        <v>4</v>
      </c>
      <c r="N4"/>
    </row>
    <row r="5" spans="1:14" x14ac:dyDescent="0.25">
      <c r="A5" s="36">
        <v>4</v>
      </c>
      <c r="B5" s="36">
        <v>366</v>
      </c>
      <c r="C5" s="36">
        <v>534</v>
      </c>
      <c r="D5" s="36">
        <v>900</v>
      </c>
      <c r="E5" s="36">
        <v>9</v>
      </c>
      <c r="F5" s="36">
        <v>6</v>
      </c>
      <c r="G5" s="36">
        <v>3</v>
      </c>
      <c r="H5" s="36">
        <v>11</v>
      </c>
      <c r="I5" s="36">
        <v>8</v>
      </c>
      <c r="J5" s="36">
        <v>6</v>
      </c>
      <c r="K5" s="36">
        <v>5</v>
      </c>
      <c r="N5"/>
    </row>
    <row r="6" spans="1:14" x14ac:dyDescent="0.25">
      <c r="A6" s="36">
        <v>5</v>
      </c>
      <c r="B6" s="36">
        <v>337</v>
      </c>
      <c r="C6" s="36">
        <v>8</v>
      </c>
      <c r="D6" s="36">
        <v>345</v>
      </c>
      <c r="E6" s="36">
        <v>12</v>
      </c>
      <c r="F6" s="36">
        <v>8</v>
      </c>
      <c r="G6" s="36">
        <v>4</v>
      </c>
      <c r="H6" s="36">
        <v>6</v>
      </c>
      <c r="I6" s="36">
        <v>10</v>
      </c>
      <c r="J6" s="36">
        <v>2</v>
      </c>
      <c r="K6" s="36">
        <v>4</v>
      </c>
      <c r="N6"/>
    </row>
    <row r="7" spans="1:14" x14ac:dyDescent="0.25">
      <c r="A7" s="36">
        <v>6</v>
      </c>
      <c r="B7" s="36">
        <v>3666</v>
      </c>
      <c r="C7" s="36">
        <v>1334</v>
      </c>
      <c r="D7" s="36">
        <v>5000</v>
      </c>
      <c r="E7" s="36">
        <v>3</v>
      </c>
      <c r="F7" s="36">
        <v>8</v>
      </c>
      <c r="G7" s="36">
        <v>5</v>
      </c>
      <c r="H7" s="36">
        <v>6</v>
      </c>
      <c r="I7" s="36">
        <v>8</v>
      </c>
      <c r="J7" s="36">
        <v>6</v>
      </c>
      <c r="K7" s="36">
        <v>5</v>
      </c>
      <c r="L7" s="36">
        <v>6</v>
      </c>
      <c r="N7"/>
    </row>
    <row r="8" spans="1:14" x14ac:dyDescent="0.25">
      <c r="A8" s="36">
        <v>7</v>
      </c>
      <c r="B8" s="36">
        <v>2080</v>
      </c>
      <c r="C8" s="36">
        <v>420</v>
      </c>
      <c r="D8" s="36">
        <v>2500</v>
      </c>
      <c r="E8" s="36">
        <v>8</v>
      </c>
      <c r="F8" s="36">
        <v>7</v>
      </c>
      <c r="G8" s="36">
        <v>11</v>
      </c>
      <c r="H8" s="36">
        <v>12</v>
      </c>
      <c r="I8" s="36">
        <v>3</v>
      </c>
      <c r="J8" s="36">
        <v>6</v>
      </c>
      <c r="N8"/>
    </row>
    <row r="9" spans="1:14" x14ac:dyDescent="0.25">
      <c r="A9" s="36">
        <v>8</v>
      </c>
      <c r="B9" s="36">
        <v>666</v>
      </c>
      <c r="C9" s="36">
        <v>334</v>
      </c>
      <c r="D9" s="36">
        <v>1000</v>
      </c>
      <c r="E9" s="36">
        <v>5</v>
      </c>
      <c r="F9" s="36">
        <v>2</v>
      </c>
      <c r="G9" s="36">
        <v>3</v>
      </c>
      <c r="H9" s="36">
        <v>3</v>
      </c>
      <c r="I9" s="36">
        <v>5</v>
      </c>
      <c r="J9" s="36">
        <v>6</v>
      </c>
      <c r="K9" s="36">
        <v>11</v>
      </c>
      <c r="L9" s="36">
        <v>12</v>
      </c>
      <c r="N9"/>
    </row>
    <row r="10" spans="1:14" x14ac:dyDescent="0.25">
      <c r="A10" s="36">
        <v>9</v>
      </c>
      <c r="B10" s="36">
        <v>4200</v>
      </c>
      <c r="C10" s="36">
        <v>800</v>
      </c>
      <c r="D10" s="36">
        <v>5000</v>
      </c>
      <c r="E10" s="36">
        <v>9</v>
      </c>
      <c r="F10" s="36">
        <v>6</v>
      </c>
      <c r="G10" s="36">
        <v>12</v>
      </c>
      <c r="H10" s="36">
        <v>6</v>
      </c>
      <c r="I10" s="36">
        <v>8</v>
      </c>
      <c r="J10" s="36">
        <v>6</v>
      </c>
      <c r="N10"/>
    </row>
    <row r="11" spans="1:14" x14ac:dyDescent="0.25">
      <c r="A11" s="36">
        <v>10</v>
      </c>
      <c r="B11" s="36">
        <v>1291</v>
      </c>
      <c r="C11" s="36">
        <v>209</v>
      </c>
      <c r="D11" s="36">
        <v>1500</v>
      </c>
      <c r="E11" s="36">
        <v>12</v>
      </c>
      <c r="F11" s="36">
        <v>5</v>
      </c>
      <c r="G11" s="36">
        <v>10</v>
      </c>
      <c r="H11" s="36">
        <v>15</v>
      </c>
      <c r="I11" s="36">
        <v>5</v>
      </c>
      <c r="N11"/>
    </row>
    <row r="19" spans="3:7" x14ac:dyDescent="0.25">
      <c r="C19" s="37"/>
      <c r="D19" s="37"/>
      <c r="E19" s="37"/>
      <c r="F19" s="37"/>
    </row>
    <row r="20" spans="3:7" x14ac:dyDescent="0.25">
      <c r="C20" s="37"/>
      <c r="D20" s="37"/>
      <c r="E20" s="37"/>
      <c r="F20" s="37"/>
    </row>
    <row r="21" spans="3:7" x14ac:dyDescent="0.25">
      <c r="C21" s="38"/>
      <c r="D21" s="37"/>
      <c r="E21" s="37"/>
      <c r="F21" s="37"/>
    </row>
    <row r="22" spans="3:7" x14ac:dyDescent="0.25">
      <c r="C22" s="38"/>
      <c r="D22" s="37"/>
      <c r="E22" s="37"/>
      <c r="F22" s="37"/>
    </row>
    <row r="23" spans="3:7" x14ac:dyDescent="0.25">
      <c r="C23" s="38"/>
      <c r="D23" s="37"/>
      <c r="E23" s="37"/>
      <c r="F23" s="37"/>
    </row>
    <row r="24" spans="3:7" x14ac:dyDescent="0.25">
      <c r="C24" s="38"/>
      <c r="D24" s="37"/>
      <c r="E24" s="37"/>
      <c r="F24" s="37"/>
      <c r="G24" s="37"/>
    </row>
    <row r="25" spans="3:7" x14ac:dyDescent="0.25">
      <c r="C25" s="38"/>
      <c r="D25" s="37"/>
      <c r="E25" s="37"/>
      <c r="F25" s="37"/>
      <c r="G25" s="37"/>
    </row>
    <row r="26" spans="3:7" x14ac:dyDescent="0.25">
      <c r="C26" s="38"/>
      <c r="D26" s="37"/>
      <c r="E26" s="37"/>
      <c r="F26" s="37"/>
      <c r="G26" s="37"/>
    </row>
    <row r="27" spans="3:7" x14ac:dyDescent="0.25">
      <c r="C27" s="38"/>
      <c r="D27" s="37"/>
      <c r="E27" s="55"/>
      <c r="F27" s="37"/>
      <c r="G27" s="37"/>
    </row>
    <row r="28" spans="3:7" x14ac:dyDescent="0.25">
      <c r="C28" s="38"/>
      <c r="D28" s="37"/>
      <c r="E28" s="55"/>
      <c r="F28" s="37"/>
      <c r="G28" s="37"/>
    </row>
    <row r="29" spans="3:7" x14ac:dyDescent="0.25">
      <c r="C29" s="38"/>
      <c r="D29" s="37"/>
      <c r="E29" s="55"/>
      <c r="F29" s="37"/>
      <c r="G29" s="37"/>
    </row>
    <row r="30" spans="3:7" x14ac:dyDescent="0.25">
      <c r="C30" s="38"/>
      <c r="D30" s="38"/>
      <c r="E30" s="55"/>
      <c r="F30" s="37"/>
      <c r="G30" s="37"/>
    </row>
    <row r="31" spans="3:7" x14ac:dyDescent="0.25">
      <c r="C31" s="37"/>
      <c r="D31" s="38"/>
      <c r="E31" s="55"/>
      <c r="F31" s="37"/>
      <c r="G31" s="37"/>
    </row>
    <row r="32" spans="3:7" x14ac:dyDescent="0.25">
      <c r="C32" s="37"/>
      <c r="D32" s="38"/>
      <c r="E32" s="55"/>
      <c r="F32" s="37"/>
      <c r="G32" s="37"/>
    </row>
    <row r="33" spans="3:7" x14ac:dyDescent="0.25">
      <c r="C33" s="37"/>
      <c r="D33" s="38"/>
      <c r="E33" s="55"/>
      <c r="F33" s="37"/>
      <c r="G33" s="37"/>
    </row>
    <row r="34" spans="3:7" x14ac:dyDescent="0.25">
      <c r="C34" s="37"/>
      <c r="D34" s="38"/>
      <c r="E34" s="55"/>
      <c r="F34" s="37"/>
      <c r="G34" s="37"/>
    </row>
    <row r="35" spans="3:7" x14ac:dyDescent="0.25">
      <c r="D35" s="38"/>
      <c r="E35" s="55"/>
      <c r="F35" s="37"/>
      <c r="G35" s="37"/>
    </row>
    <row r="36" spans="3:7" x14ac:dyDescent="0.25">
      <c r="D36" s="38"/>
      <c r="E36" s="55"/>
      <c r="F36" s="37"/>
      <c r="G36" s="37"/>
    </row>
    <row r="37" spans="3:7" x14ac:dyDescent="0.25">
      <c r="D37" s="38"/>
      <c r="E37" s="38"/>
      <c r="F37" s="37"/>
      <c r="G37" s="37"/>
    </row>
    <row r="38" spans="3:7" x14ac:dyDescent="0.25">
      <c r="D38" s="38"/>
      <c r="E38" s="38"/>
      <c r="F38" s="37"/>
      <c r="G38" s="37"/>
    </row>
    <row r="39" spans="3:7" x14ac:dyDescent="0.25">
      <c r="D39" s="38"/>
      <c r="E39" s="38"/>
      <c r="F39" s="37"/>
      <c r="G39" s="37"/>
    </row>
    <row r="40" spans="3:7" x14ac:dyDescent="0.25">
      <c r="D40" s="38"/>
      <c r="E40" s="38"/>
    </row>
    <row r="41" spans="3:7" x14ac:dyDescent="0.25">
      <c r="D41" s="37"/>
      <c r="E41" s="37"/>
    </row>
    <row r="42" spans="3:7" x14ac:dyDescent="0.25">
      <c r="D42" s="37"/>
      <c r="E42" s="3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8"/>
  <dimension ref="A1:E100"/>
  <sheetViews>
    <sheetView workbookViewId="0">
      <selection activeCell="B2" sqref="B2:B100"/>
    </sheetView>
  </sheetViews>
  <sheetFormatPr defaultRowHeight="15" x14ac:dyDescent="0.25"/>
  <cols>
    <col min="1" max="1" width="9.140625" style="3"/>
    <col min="2" max="2" width="9.140625" style="47"/>
    <col min="3" max="3" width="12.7109375" style="3" bestFit="1" customWidth="1"/>
    <col min="4" max="4" width="9.140625" style="3"/>
    <col min="5" max="16384" width="9.140625" style="1"/>
  </cols>
  <sheetData>
    <row r="1" spans="1:5" x14ac:dyDescent="0.25">
      <c r="A1" s="3" t="s">
        <v>283</v>
      </c>
      <c r="B1" s="47" t="s">
        <v>245</v>
      </c>
      <c r="C1" s="3" t="s">
        <v>285</v>
      </c>
      <c r="D1" s="3" t="s">
        <v>245</v>
      </c>
    </row>
    <row r="2" spans="1:5" x14ac:dyDescent="0.25">
      <c r="A2" s="36">
        <v>1</v>
      </c>
      <c r="B2" s="36"/>
      <c r="C2" s="40">
        <v>5</v>
      </c>
      <c r="D2" s="40">
        <v>345</v>
      </c>
      <c r="E2" s="36"/>
    </row>
    <row r="3" spans="1:5" x14ac:dyDescent="0.25">
      <c r="A3" s="36">
        <v>2</v>
      </c>
      <c r="B3" s="36"/>
      <c r="C3" s="40">
        <v>2</v>
      </c>
      <c r="D3" s="40">
        <v>800</v>
      </c>
      <c r="E3" s="36"/>
    </row>
    <row r="4" spans="1:5" x14ac:dyDescent="0.25">
      <c r="A4" s="36">
        <v>3</v>
      </c>
      <c r="B4" s="36"/>
      <c r="C4" s="40">
        <v>4</v>
      </c>
      <c r="D4" s="40">
        <v>900</v>
      </c>
      <c r="E4" s="36"/>
    </row>
    <row r="5" spans="1:5" x14ac:dyDescent="0.25">
      <c r="A5" s="36">
        <v>4</v>
      </c>
      <c r="B5" s="36"/>
      <c r="C5" s="40">
        <v>8</v>
      </c>
      <c r="D5" s="40">
        <v>1000</v>
      </c>
      <c r="E5" s="36"/>
    </row>
    <row r="6" spans="1:5" x14ac:dyDescent="0.25">
      <c r="A6" s="36">
        <v>5</v>
      </c>
      <c r="B6" s="36"/>
      <c r="C6" s="40">
        <v>1</v>
      </c>
      <c r="D6" s="40">
        <v>1200</v>
      </c>
      <c r="E6" s="36"/>
    </row>
    <row r="7" spans="1:5" x14ac:dyDescent="0.25">
      <c r="A7" s="36">
        <v>6</v>
      </c>
      <c r="B7" s="36"/>
      <c r="C7" s="40">
        <v>10</v>
      </c>
      <c r="D7" s="40">
        <v>1500</v>
      </c>
      <c r="E7" s="36"/>
    </row>
    <row r="8" spans="1:5" x14ac:dyDescent="0.25">
      <c r="A8" s="36">
        <v>7</v>
      </c>
      <c r="B8" s="36"/>
      <c r="C8" s="40">
        <v>7</v>
      </c>
      <c r="D8" s="40">
        <v>2500</v>
      </c>
      <c r="E8" s="36"/>
    </row>
    <row r="9" spans="1:5" x14ac:dyDescent="0.25">
      <c r="A9" s="36">
        <v>8</v>
      </c>
      <c r="B9" s="36"/>
      <c r="C9" s="40">
        <v>3</v>
      </c>
      <c r="D9" s="40">
        <v>3000</v>
      </c>
      <c r="E9" s="36"/>
    </row>
    <row r="10" spans="1:5" x14ac:dyDescent="0.25">
      <c r="A10" s="36">
        <v>9</v>
      </c>
      <c r="B10" s="36"/>
      <c r="C10" s="40">
        <v>6</v>
      </c>
      <c r="D10" s="40">
        <v>5000</v>
      </c>
      <c r="E10" s="36"/>
    </row>
    <row r="11" spans="1:5" x14ac:dyDescent="0.25">
      <c r="A11" s="36">
        <v>10</v>
      </c>
      <c r="B11" s="36"/>
      <c r="C11" s="40">
        <v>9</v>
      </c>
      <c r="D11" s="40">
        <v>5000</v>
      </c>
      <c r="E11" s="36"/>
    </row>
    <row r="12" spans="1:5" x14ac:dyDescent="0.25">
      <c r="A12" s="36"/>
      <c r="B12" s="36"/>
      <c r="C12" s="40"/>
      <c r="D12" s="40"/>
    </row>
    <row r="13" spans="1:5" x14ac:dyDescent="0.25">
      <c r="A13" s="36"/>
      <c r="B13" s="36"/>
      <c r="C13" s="40"/>
      <c r="D13" s="40"/>
    </row>
    <row r="14" spans="1:5" x14ac:dyDescent="0.25">
      <c r="A14" s="36"/>
      <c r="B14" s="36"/>
      <c r="C14" s="40"/>
      <c r="D14" s="40"/>
    </row>
    <row r="15" spans="1:5" x14ac:dyDescent="0.25">
      <c r="A15" s="36"/>
      <c r="B15" s="36"/>
      <c r="C15" s="40"/>
      <c r="D15" s="40"/>
    </row>
    <row r="16" spans="1:5" x14ac:dyDescent="0.25">
      <c r="A16" s="36"/>
      <c r="B16" s="36"/>
      <c r="C16" s="40"/>
      <c r="D16" s="40"/>
    </row>
    <row r="17" spans="1:4" x14ac:dyDescent="0.25">
      <c r="A17" s="36"/>
      <c r="B17" s="36"/>
      <c r="C17" s="40"/>
      <c r="D17" s="40"/>
    </row>
    <row r="18" spans="1:4" x14ac:dyDescent="0.25">
      <c r="A18" s="36"/>
      <c r="B18" s="36"/>
      <c r="C18" s="40"/>
      <c r="D18" s="40"/>
    </row>
    <row r="19" spans="1:4" x14ac:dyDescent="0.25">
      <c r="A19" s="36"/>
      <c r="B19" s="37"/>
      <c r="C19" s="40"/>
      <c r="D19" s="40"/>
    </row>
    <row r="20" spans="1:4" x14ac:dyDescent="0.25">
      <c r="A20" s="36"/>
      <c r="B20" s="37"/>
      <c r="C20" s="40"/>
      <c r="D20" s="40"/>
    </row>
    <row r="21" spans="1:4" x14ac:dyDescent="0.25">
      <c r="A21" s="36"/>
      <c r="B21" s="37"/>
      <c r="D21" s="40"/>
    </row>
    <row r="22" spans="1:4" x14ac:dyDescent="0.25">
      <c r="A22" s="36"/>
      <c r="B22" s="37"/>
      <c r="D22" s="40"/>
    </row>
    <row r="23" spans="1:4" x14ac:dyDescent="0.25">
      <c r="A23" s="36"/>
      <c r="B23" s="37"/>
      <c r="D23" s="40"/>
    </row>
    <row r="24" spans="1:4" x14ac:dyDescent="0.25">
      <c r="A24" s="36"/>
      <c r="B24" s="37"/>
      <c r="D24" s="40"/>
    </row>
    <row r="25" spans="1:4" x14ac:dyDescent="0.25">
      <c r="A25" s="36"/>
      <c r="B25" s="37"/>
      <c r="D25" s="40"/>
    </row>
    <row r="26" spans="1:4" x14ac:dyDescent="0.25">
      <c r="A26" s="36"/>
      <c r="B26" s="37"/>
      <c r="D26" s="40"/>
    </row>
    <row r="27" spans="1:4" x14ac:dyDescent="0.25">
      <c r="A27" s="36"/>
      <c r="B27" s="37"/>
      <c r="D27" s="40"/>
    </row>
    <row r="28" spans="1:4" x14ac:dyDescent="0.25">
      <c r="A28" s="36"/>
      <c r="B28" s="37"/>
      <c r="D28" s="40"/>
    </row>
    <row r="29" spans="1:4" x14ac:dyDescent="0.25">
      <c r="A29" s="36"/>
      <c r="B29" s="37"/>
      <c r="D29" s="40"/>
    </row>
    <row r="30" spans="1:4" x14ac:dyDescent="0.25">
      <c r="A30" s="36"/>
      <c r="B30" s="38"/>
    </row>
    <row r="31" spans="1:4" x14ac:dyDescent="0.25">
      <c r="A31" s="36"/>
      <c r="B31" s="38"/>
      <c r="C31" s="40"/>
    </row>
    <row r="32" spans="1:4" x14ac:dyDescent="0.25">
      <c r="A32" s="36"/>
      <c r="B32" s="38"/>
      <c r="C32" s="40"/>
    </row>
    <row r="33" spans="1:4" x14ac:dyDescent="0.25">
      <c r="A33" s="36"/>
      <c r="B33" s="38"/>
      <c r="C33" s="40"/>
    </row>
    <row r="34" spans="1:4" x14ac:dyDescent="0.25">
      <c r="A34" s="36"/>
      <c r="B34" s="38"/>
      <c r="C34" s="40"/>
    </row>
    <row r="35" spans="1:4" x14ac:dyDescent="0.25">
      <c r="A35" s="36"/>
      <c r="B35" s="38"/>
      <c r="C35" s="40"/>
    </row>
    <row r="36" spans="1:4" x14ac:dyDescent="0.25">
      <c r="A36" s="36"/>
      <c r="B36" s="38"/>
      <c r="C36" s="40"/>
    </row>
    <row r="37" spans="1:4" x14ac:dyDescent="0.25">
      <c r="A37" s="36"/>
      <c r="B37" s="38"/>
      <c r="C37" s="40"/>
    </row>
    <row r="38" spans="1:4" x14ac:dyDescent="0.25">
      <c r="A38" s="36"/>
      <c r="B38" s="38"/>
      <c r="C38" s="40"/>
    </row>
    <row r="39" spans="1:4" x14ac:dyDescent="0.25">
      <c r="A39" s="36"/>
      <c r="B39" s="38"/>
      <c r="C39" s="40"/>
    </row>
    <row r="40" spans="1:4" x14ac:dyDescent="0.25">
      <c r="A40" s="36"/>
      <c r="B40" s="38"/>
      <c r="C40" s="40"/>
    </row>
    <row r="41" spans="1:4" x14ac:dyDescent="0.25">
      <c r="A41" s="36"/>
      <c r="B41" s="37"/>
      <c r="C41" s="40"/>
      <c r="D41" s="40"/>
    </row>
    <row r="42" spans="1:4" x14ac:dyDescent="0.25">
      <c r="A42" s="36"/>
      <c r="B42" s="37"/>
      <c r="C42" s="40"/>
      <c r="D42" s="40"/>
    </row>
    <row r="43" spans="1:4" x14ac:dyDescent="0.25">
      <c r="A43" s="36"/>
      <c r="B43" s="36"/>
      <c r="C43" s="40"/>
      <c r="D43" s="40"/>
    </row>
    <row r="44" spans="1:4" x14ac:dyDescent="0.25">
      <c r="A44" s="36"/>
      <c r="B44" s="36"/>
      <c r="C44" s="40"/>
      <c r="D44" s="40"/>
    </row>
    <row r="45" spans="1:4" x14ac:dyDescent="0.25">
      <c r="A45" s="36"/>
      <c r="B45" s="36"/>
      <c r="C45" s="40"/>
      <c r="D45" s="40"/>
    </row>
    <row r="46" spans="1:4" x14ac:dyDescent="0.25">
      <c r="A46" s="36"/>
      <c r="B46" s="36"/>
      <c r="C46" s="40"/>
      <c r="D46" s="40"/>
    </row>
    <row r="47" spans="1:4" x14ac:dyDescent="0.25">
      <c r="A47" s="36"/>
      <c r="B47" s="36"/>
      <c r="C47" s="40"/>
      <c r="D47" s="40"/>
    </row>
    <row r="48" spans="1:4" x14ac:dyDescent="0.25">
      <c r="A48" s="36"/>
      <c r="B48" s="36"/>
      <c r="C48" s="40"/>
      <c r="D48" s="40"/>
    </row>
    <row r="49" spans="1:4" x14ac:dyDescent="0.25">
      <c r="A49" s="36"/>
      <c r="B49" s="36"/>
      <c r="C49" s="40"/>
      <c r="D49" s="40"/>
    </row>
    <row r="50" spans="1:4" x14ac:dyDescent="0.25">
      <c r="A50" s="36"/>
      <c r="B50" s="36"/>
      <c r="C50" s="40"/>
      <c r="D50" s="40"/>
    </row>
    <row r="51" spans="1:4" x14ac:dyDescent="0.25">
      <c r="A51" s="36"/>
      <c r="B51" s="36"/>
      <c r="C51" s="40"/>
      <c r="D51" s="40"/>
    </row>
    <row r="52" spans="1:4" x14ac:dyDescent="0.25">
      <c r="A52" s="36"/>
      <c r="B52" s="36"/>
      <c r="C52" s="40"/>
      <c r="D52" s="40"/>
    </row>
    <row r="53" spans="1:4" x14ac:dyDescent="0.25">
      <c r="A53" s="36"/>
      <c r="B53" s="36"/>
      <c r="C53" s="40"/>
      <c r="D53" s="40"/>
    </row>
    <row r="54" spans="1:4" x14ac:dyDescent="0.25">
      <c r="A54" s="36"/>
      <c r="B54" s="36"/>
      <c r="C54" s="40"/>
      <c r="D54" s="40"/>
    </row>
    <row r="55" spans="1:4" x14ac:dyDescent="0.25">
      <c r="A55" s="36"/>
      <c r="B55" s="36"/>
      <c r="C55" s="40"/>
      <c r="D55" s="40"/>
    </row>
    <row r="56" spans="1:4" x14ac:dyDescent="0.25">
      <c r="A56" s="36"/>
      <c r="B56" s="36"/>
      <c r="C56" s="40"/>
      <c r="D56" s="40"/>
    </row>
    <row r="57" spans="1:4" x14ac:dyDescent="0.25">
      <c r="A57" s="36"/>
      <c r="B57" s="36"/>
      <c r="C57" s="40"/>
      <c r="D57" s="40"/>
    </row>
    <row r="58" spans="1:4" x14ac:dyDescent="0.25">
      <c r="A58" s="36"/>
      <c r="B58" s="36"/>
      <c r="C58" s="40"/>
      <c r="D58" s="40"/>
    </row>
    <row r="59" spans="1:4" x14ac:dyDescent="0.25">
      <c r="A59" s="36"/>
      <c r="B59" s="36"/>
      <c r="C59" s="40"/>
      <c r="D59" s="40"/>
    </row>
    <row r="60" spans="1:4" x14ac:dyDescent="0.25">
      <c r="A60" s="36"/>
      <c r="B60" s="36"/>
      <c r="C60" s="40"/>
      <c r="D60" s="40"/>
    </row>
    <row r="61" spans="1:4" x14ac:dyDescent="0.25">
      <c r="A61" s="36"/>
      <c r="B61" s="36"/>
      <c r="C61" s="40"/>
      <c r="D61" s="40"/>
    </row>
    <row r="62" spans="1:4" x14ac:dyDescent="0.25">
      <c r="A62" s="36"/>
      <c r="B62" s="36"/>
      <c r="C62" s="40"/>
      <c r="D62" s="40"/>
    </row>
    <row r="63" spans="1:4" x14ac:dyDescent="0.25">
      <c r="A63" s="36"/>
      <c r="B63" s="36"/>
      <c r="C63" s="40"/>
      <c r="D63" s="40"/>
    </row>
    <row r="64" spans="1:4" x14ac:dyDescent="0.25">
      <c r="A64" s="36"/>
      <c r="B64" s="36"/>
      <c r="C64" s="40"/>
      <c r="D64" s="40"/>
    </row>
    <row r="65" spans="1:4" x14ac:dyDescent="0.25">
      <c r="A65" s="36"/>
      <c r="B65" s="36"/>
      <c r="C65" s="40"/>
      <c r="D65" s="40"/>
    </row>
    <row r="66" spans="1:4" x14ac:dyDescent="0.25">
      <c r="A66" s="36"/>
      <c r="B66" s="36"/>
      <c r="C66" s="40"/>
      <c r="D66" s="40"/>
    </row>
    <row r="67" spans="1:4" x14ac:dyDescent="0.25">
      <c r="A67" s="36"/>
      <c r="B67" s="36"/>
      <c r="C67" s="40"/>
      <c r="D67" s="40"/>
    </row>
    <row r="68" spans="1:4" x14ac:dyDescent="0.25">
      <c r="A68" s="36"/>
      <c r="B68" s="36"/>
      <c r="C68" s="40"/>
      <c r="D68" s="40"/>
    </row>
    <row r="69" spans="1:4" x14ac:dyDescent="0.25">
      <c r="A69" s="36"/>
      <c r="B69" s="36"/>
      <c r="C69" s="40"/>
      <c r="D69" s="40"/>
    </row>
    <row r="70" spans="1:4" x14ac:dyDescent="0.25">
      <c r="A70" s="36"/>
      <c r="B70" s="36"/>
      <c r="C70" s="40"/>
      <c r="D70" s="40"/>
    </row>
    <row r="71" spans="1:4" x14ac:dyDescent="0.25">
      <c r="A71" s="36"/>
      <c r="B71" s="36"/>
      <c r="C71" s="40"/>
      <c r="D71" s="40"/>
    </row>
    <row r="72" spans="1:4" x14ac:dyDescent="0.25">
      <c r="A72" s="36"/>
      <c r="B72" s="36"/>
      <c r="C72" s="40"/>
      <c r="D72" s="40"/>
    </row>
    <row r="73" spans="1:4" x14ac:dyDescent="0.25">
      <c r="A73" s="36"/>
      <c r="B73" s="36"/>
      <c r="C73" s="40"/>
      <c r="D73" s="40"/>
    </row>
    <row r="74" spans="1:4" x14ac:dyDescent="0.25">
      <c r="A74" s="36"/>
      <c r="B74" s="36"/>
      <c r="C74" s="40"/>
      <c r="D74" s="40"/>
    </row>
    <row r="75" spans="1:4" x14ac:dyDescent="0.25">
      <c r="A75" s="36"/>
      <c r="B75" s="36"/>
      <c r="C75" s="40"/>
      <c r="D75" s="40"/>
    </row>
    <row r="76" spans="1:4" x14ac:dyDescent="0.25">
      <c r="A76" s="36"/>
      <c r="B76" s="36"/>
      <c r="C76" s="40"/>
      <c r="D76" s="40"/>
    </row>
    <row r="77" spans="1:4" x14ac:dyDescent="0.25">
      <c r="A77" s="36"/>
      <c r="B77" s="36"/>
      <c r="C77" s="40"/>
      <c r="D77" s="40"/>
    </row>
    <row r="78" spans="1:4" x14ac:dyDescent="0.25">
      <c r="A78" s="36"/>
      <c r="B78" s="36"/>
      <c r="C78" s="40"/>
      <c r="D78" s="40"/>
    </row>
    <row r="79" spans="1:4" x14ac:dyDescent="0.25">
      <c r="A79" s="36"/>
      <c r="B79" s="36"/>
      <c r="C79" s="40"/>
      <c r="D79" s="40"/>
    </row>
    <row r="80" spans="1:4" x14ac:dyDescent="0.25">
      <c r="A80" s="36"/>
      <c r="B80" s="36"/>
      <c r="C80" s="40"/>
      <c r="D80" s="40"/>
    </row>
    <row r="81" spans="1:4" x14ac:dyDescent="0.25">
      <c r="A81" s="36"/>
      <c r="B81" s="36"/>
      <c r="C81" s="40"/>
      <c r="D81" s="40"/>
    </row>
    <row r="82" spans="1:4" x14ac:dyDescent="0.25">
      <c r="A82" s="36"/>
      <c r="B82" s="36"/>
      <c r="C82" s="40"/>
      <c r="D82" s="40"/>
    </row>
    <row r="83" spans="1:4" x14ac:dyDescent="0.25">
      <c r="A83" s="36"/>
      <c r="B83" s="36"/>
      <c r="C83" s="40"/>
      <c r="D83" s="40"/>
    </row>
    <row r="84" spans="1:4" x14ac:dyDescent="0.25">
      <c r="A84" s="36"/>
      <c r="B84" s="36"/>
      <c r="C84" s="40"/>
      <c r="D84" s="40"/>
    </row>
    <row r="85" spans="1:4" x14ac:dyDescent="0.25">
      <c r="A85" s="36"/>
      <c r="B85" s="36"/>
      <c r="C85" s="40"/>
      <c r="D85" s="40"/>
    </row>
    <row r="86" spans="1:4" x14ac:dyDescent="0.25">
      <c r="A86" s="36"/>
      <c r="B86" s="36"/>
      <c r="C86" s="40"/>
      <c r="D86" s="40"/>
    </row>
    <row r="87" spans="1:4" x14ac:dyDescent="0.25">
      <c r="A87" s="36"/>
      <c r="B87" s="36"/>
      <c r="C87" s="40"/>
      <c r="D87" s="40"/>
    </row>
    <row r="88" spans="1:4" x14ac:dyDescent="0.25">
      <c r="A88" s="36"/>
      <c r="B88" s="36"/>
      <c r="C88" s="40"/>
      <c r="D88" s="40"/>
    </row>
    <row r="89" spans="1:4" x14ac:dyDescent="0.25">
      <c r="A89" s="36"/>
      <c r="B89" s="36"/>
      <c r="C89" s="40"/>
      <c r="D89" s="40"/>
    </row>
    <row r="90" spans="1:4" x14ac:dyDescent="0.25">
      <c r="A90" s="36"/>
      <c r="B90" s="36"/>
      <c r="C90" s="40"/>
      <c r="D90" s="40"/>
    </row>
    <row r="91" spans="1:4" x14ac:dyDescent="0.25">
      <c r="A91" s="36"/>
      <c r="B91" s="36"/>
      <c r="C91" s="40"/>
      <c r="D91" s="40"/>
    </row>
    <row r="92" spans="1:4" x14ac:dyDescent="0.25">
      <c r="A92" s="36"/>
      <c r="B92" s="36"/>
      <c r="C92" s="40"/>
      <c r="D92" s="40"/>
    </row>
    <row r="93" spans="1:4" x14ac:dyDescent="0.25">
      <c r="A93" s="36"/>
      <c r="B93" s="36"/>
      <c r="C93" s="40"/>
      <c r="D93" s="40"/>
    </row>
    <row r="94" spans="1:4" x14ac:dyDescent="0.25">
      <c r="A94" s="36"/>
      <c r="B94" s="36"/>
      <c r="C94" s="40"/>
      <c r="D94" s="40"/>
    </row>
    <row r="95" spans="1:4" x14ac:dyDescent="0.25">
      <c r="A95" s="36"/>
      <c r="B95" s="36"/>
      <c r="C95" s="40"/>
      <c r="D95" s="40"/>
    </row>
    <row r="96" spans="1:4" x14ac:dyDescent="0.25">
      <c r="A96" s="36"/>
      <c r="B96" s="36"/>
      <c r="C96" s="40"/>
      <c r="D96" s="40"/>
    </row>
    <row r="97" spans="1:4" x14ac:dyDescent="0.25">
      <c r="A97" s="36"/>
      <c r="B97" s="36"/>
      <c r="C97" s="40"/>
      <c r="D97" s="40"/>
    </row>
    <row r="98" spans="1:4" x14ac:dyDescent="0.25">
      <c r="A98" s="36"/>
      <c r="B98" s="36"/>
      <c r="C98" s="40"/>
      <c r="D98" s="40"/>
    </row>
    <row r="99" spans="1:4" x14ac:dyDescent="0.25">
      <c r="A99" s="36"/>
      <c r="B99" s="36"/>
      <c r="C99" s="40"/>
      <c r="D99" s="40"/>
    </row>
    <row r="100" spans="1:4" x14ac:dyDescent="0.25">
      <c r="A100" s="36"/>
      <c r="B100" s="36"/>
      <c r="C100" s="40"/>
      <c r="D100" s="4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17"/>
  <dimension ref="A1:G30"/>
  <sheetViews>
    <sheetView workbookViewId="0">
      <selection activeCell="A2" sqref="A2:A100"/>
    </sheetView>
  </sheetViews>
  <sheetFormatPr defaultRowHeight="15" x14ac:dyDescent="0.25"/>
  <cols>
    <col min="1" max="1" width="12.42578125" style="40" bestFit="1" customWidth="1"/>
    <col min="2" max="2" width="9.140625" style="40"/>
    <col min="3" max="3" width="16.85546875" style="56" bestFit="1" customWidth="1"/>
    <col min="4" max="5" width="9.140625" style="40"/>
    <col min="6" max="6" width="9.140625" style="50"/>
    <col min="7" max="7" width="9.140625" style="40"/>
    <col min="8" max="16384" width="9.140625" style="36"/>
  </cols>
  <sheetData>
    <row r="1" spans="1:7" x14ac:dyDescent="0.25">
      <c r="A1" s="40" t="s">
        <v>286</v>
      </c>
      <c r="C1" s="56" t="s">
        <v>287</v>
      </c>
      <c r="G1" s="40" t="s">
        <v>288</v>
      </c>
    </row>
    <row r="2" spans="1:7" x14ac:dyDescent="0.25">
      <c r="A2" s="40">
        <v>5</v>
      </c>
      <c r="B2" s="40">
        <v>0.1</v>
      </c>
      <c r="C2" s="56">
        <v>1</v>
      </c>
      <c r="D2" s="40">
        <v>0.9</v>
      </c>
      <c r="E2" s="40">
        <v>1</v>
      </c>
      <c r="G2" s="40">
        <v>1</v>
      </c>
    </row>
    <row r="3" spans="1:7" x14ac:dyDescent="0.25">
      <c r="A3" s="40">
        <v>2</v>
      </c>
      <c r="B3" s="40">
        <v>9.0000000000000011E-2</v>
      </c>
      <c r="C3" s="56">
        <v>8</v>
      </c>
      <c r="D3" s="40">
        <v>0.73</v>
      </c>
      <c r="E3" s="40">
        <v>2</v>
      </c>
      <c r="G3" s="40">
        <v>8</v>
      </c>
    </row>
    <row r="4" spans="1:7" x14ac:dyDescent="0.25">
      <c r="A4" s="40">
        <v>4</v>
      </c>
      <c r="B4" s="40">
        <v>0.08</v>
      </c>
      <c r="C4" s="56">
        <v>2</v>
      </c>
      <c r="D4" s="40">
        <v>0.64</v>
      </c>
      <c r="E4" s="40">
        <v>3</v>
      </c>
      <c r="G4" s="40">
        <v>2</v>
      </c>
    </row>
    <row r="5" spans="1:7" x14ac:dyDescent="0.25">
      <c r="A5" s="40">
        <v>8</v>
      </c>
      <c r="B5" s="40">
        <v>7.0000000000000007E-2</v>
      </c>
      <c r="C5" s="56">
        <v>7</v>
      </c>
      <c r="D5" s="40">
        <v>0.55000000000000004</v>
      </c>
      <c r="E5" s="40">
        <v>4</v>
      </c>
      <c r="G5" s="40">
        <v>7</v>
      </c>
    </row>
    <row r="6" spans="1:7" x14ac:dyDescent="0.25">
      <c r="A6" s="40">
        <v>1</v>
      </c>
      <c r="B6" s="40">
        <v>6.0000000000000005E-2</v>
      </c>
      <c r="C6" s="56">
        <v>4</v>
      </c>
      <c r="D6" s="40">
        <v>0.46</v>
      </c>
      <c r="E6" s="40">
        <v>5</v>
      </c>
      <c r="G6" s="40">
        <v>4</v>
      </c>
    </row>
    <row r="7" spans="1:7" x14ac:dyDescent="0.25">
      <c r="A7" s="40">
        <v>10</v>
      </c>
      <c r="B7" s="40">
        <v>0.05</v>
      </c>
      <c r="C7" s="56">
        <v>10</v>
      </c>
      <c r="D7" s="40">
        <v>0.37</v>
      </c>
      <c r="E7" s="40">
        <v>6</v>
      </c>
      <c r="G7" s="40">
        <v>10</v>
      </c>
    </row>
    <row r="8" spans="1:7" x14ac:dyDescent="0.25">
      <c r="A8" s="40">
        <v>7</v>
      </c>
      <c r="B8" s="40">
        <v>0.04</v>
      </c>
      <c r="C8" s="56">
        <v>5</v>
      </c>
      <c r="D8" s="40">
        <v>0.28000000000000003</v>
      </c>
      <c r="E8" s="40">
        <v>7</v>
      </c>
      <c r="G8" s="40">
        <v>5</v>
      </c>
    </row>
    <row r="9" spans="1:7" x14ac:dyDescent="0.25">
      <c r="A9" s="40">
        <v>3</v>
      </c>
      <c r="B9" s="40">
        <v>3.0000000000000002E-2</v>
      </c>
      <c r="C9" s="56">
        <v>9</v>
      </c>
      <c r="D9" s="40">
        <v>0.19</v>
      </c>
      <c r="E9" s="40">
        <v>8</v>
      </c>
      <c r="G9" s="40">
        <v>9</v>
      </c>
    </row>
    <row r="10" spans="1:7" x14ac:dyDescent="0.25">
      <c r="A10" s="40">
        <v>6</v>
      </c>
      <c r="B10" s="40">
        <v>0.02</v>
      </c>
      <c r="C10" s="56">
        <v>3</v>
      </c>
      <c r="D10" s="40">
        <v>0.1</v>
      </c>
      <c r="E10" s="40">
        <v>9</v>
      </c>
      <c r="G10" s="40">
        <v>3</v>
      </c>
    </row>
    <row r="11" spans="1:7" x14ac:dyDescent="0.25">
      <c r="A11" s="40">
        <v>9</v>
      </c>
      <c r="B11" s="40">
        <v>0.01</v>
      </c>
      <c r="C11" s="56">
        <v>6</v>
      </c>
      <c r="D11" s="40">
        <v>0.01</v>
      </c>
      <c r="E11" s="40">
        <v>10</v>
      </c>
      <c r="G11" s="40">
        <v>6</v>
      </c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NSOLE">
          <controlPr defaultSize="0" autoLine="0" r:id="rId4">
            <anchor moveWithCells="1">
              <from>
                <xdr:col>8</xdr:col>
                <xdr:colOff>38100</xdr:colOff>
                <xdr:row>0</xdr:row>
                <xdr:rowOff>76200</xdr:rowOff>
              </from>
              <to>
                <xdr:col>9</xdr:col>
                <xdr:colOff>504825</xdr:colOff>
                <xdr:row>3</xdr:row>
                <xdr:rowOff>142875</xdr:rowOff>
              </to>
            </anchor>
          </controlPr>
        </control>
      </mc:Choice>
      <mc:Fallback>
        <control shapeId="30721" r:id="rId3" name="CONSO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3"/>
  <dimension ref="A1:W25"/>
  <sheetViews>
    <sheetView zoomScale="70" zoomScaleNormal="70" workbookViewId="0">
      <selection activeCell="D51" sqref="D51"/>
    </sheetView>
  </sheetViews>
  <sheetFormatPr defaultRowHeight="15" x14ac:dyDescent="0.25"/>
  <cols>
    <col min="1" max="1" width="16" customWidth="1"/>
    <col min="2" max="2" width="10.5703125" bestFit="1" customWidth="1"/>
    <col min="4" max="14" width="6.7109375" customWidth="1"/>
  </cols>
  <sheetData>
    <row r="1" spans="1:23" ht="30" x14ac:dyDescent="0.25">
      <c r="A1" s="25" t="s">
        <v>176</v>
      </c>
      <c r="B1" s="23" t="s">
        <v>175</v>
      </c>
    </row>
    <row r="2" spans="1:23" x14ac:dyDescent="0.25">
      <c r="A2" s="3">
        <v>6</v>
      </c>
      <c r="B2" s="3">
        <v>0.8571428571428571</v>
      </c>
      <c r="D2" s="26"/>
      <c r="E2" s="23" t="s">
        <v>15</v>
      </c>
      <c r="F2" s="23" t="s">
        <v>16</v>
      </c>
      <c r="G2" s="23" t="s">
        <v>17</v>
      </c>
      <c r="H2" s="23" t="s">
        <v>18</v>
      </c>
      <c r="I2" s="23" t="s">
        <v>19</v>
      </c>
      <c r="J2" s="23" t="s">
        <v>20</v>
      </c>
      <c r="K2" s="23" t="s">
        <v>21</v>
      </c>
      <c r="L2" s="23" t="s">
        <v>22</v>
      </c>
      <c r="M2" s="23" t="s">
        <v>23</v>
      </c>
      <c r="N2" s="23" t="s">
        <v>256</v>
      </c>
    </row>
    <row r="3" spans="1:23" x14ac:dyDescent="0.25">
      <c r="D3" s="26" t="s">
        <v>15</v>
      </c>
      <c r="E3" s="21">
        <v>1</v>
      </c>
      <c r="F3" s="22">
        <v>0.8</v>
      </c>
      <c r="G3" s="22">
        <v>0.125</v>
      </c>
      <c r="H3" s="22">
        <v>0.85709999999999997</v>
      </c>
      <c r="I3" s="22">
        <v>0.57140000000000002</v>
      </c>
      <c r="J3" s="22">
        <v>0.1333</v>
      </c>
      <c r="K3" s="22">
        <v>0.76919999999999999</v>
      </c>
      <c r="L3" s="22">
        <v>0.93330000000000002</v>
      </c>
      <c r="M3" s="22">
        <v>0.46150000000000002</v>
      </c>
      <c r="N3" s="22">
        <v>0.5</v>
      </c>
    </row>
    <row r="4" spans="1:23" x14ac:dyDescent="0.25">
      <c r="D4" s="26" t="s">
        <v>16</v>
      </c>
      <c r="E4" s="22">
        <v>0.8</v>
      </c>
      <c r="F4" s="21">
        <v>1</v>
      </c>
      <c r="G4" s="22">
        <v>0.35289999999999999</v>
      </c>
      <c r="H4" s="22">
        <v>0.66669999999999996</v>
      </c>
      <c r="I4" s="22">
        <v>0.4</v>
      </c>
      <c r="J4" s="22">
        <v>0.25</v>
      </c>
      <c r="K4" s="22">
        <v>0.85709999999999997</v>
      </c>
      <c r="L4" s="22">
        <v>0.875</v>
      </c>
      <c r="M4" s="22">
        <v>0.42859999999999998</v>
      </c>
      <c r="N4" s="22">
        <v>0.46150000000000002</v>
      </c>
    </row>
    <row r="5" spans="1:23" x14ac:dyDescent="0.25">
      <c r="D5" s="26" t="s">
        <v>17</v>
      </c>
      <c r="E5" s="22">
        <v>0.125</v>
      </c>
      <c r="F5" s="22">
        <v>0.35289999999999999</v>
      </c>
      <c r="G5" s="21">
        <v>1</v>
      </c>
      <c r="H5" s="22">
        <v>0.125</v>
      </c>
      <c r="I5" s="22">
        <v>0.125</v>
      </c>
      <c r="J5" s="22">
        <v>0.23530000000000001</v>
      </c>
      <c r="K5" s="22">
        <v>0.26669999999999999</v>
      </c>
      <c r="L5" s="22">
        <v>0.23530000000000001</v>
      </c>
      <c r="M5" s="22">
        <v>0.1333</v>
      </c>
      <c r="N5" s="22">
        <v>0.1429</v>
      </c>
    </row>
    <row r="6" spans="1:23" x14ac:dyDescent="0.25">
      <c r="D6" s="26" t="s">
        <v>18</v>
      </c>
      <c r="E6" s="22">
        <v>0.85709999999999997</v>
      </c>
      <c r="F6" s="22">
        <v>0.66669999999999996</v>
      </c>
      <c r="G6" s="22">
        <v>0.125</v>
      </c>
      <c r="H6" s="21">
        <v>1</v>
      </c>
      <c r="I6" s="22">
        <v>0.42859999999999998</v>
      </c>
      <c r="J6" s="22">
        <v>0.1333</v>
      </c>
      <c r="K6" s="22">
        <v>0.61539999999999995</v>
      </c>
      <c r="L6" s="22">
        <v>0.8</v>
      </c>
      <c r="M6" s="22">
        <v>0.46150000000000002</v>
      </c>
      <c r="N6" s="22">
        <v>0.66669999999999996</v>
      </c>
    </row>
    <row r="7" spans="1:23" x14ac:dyDescent="0.25">
      <c r="D7" s="26" t="s">
        <v>19</v>
      </c>
      <c r="E7" s="22">
        <v>0.57140000000000002</v>
      </c>
      <c r="F7" s="22">
        <v>0.4</v>
      </c>
      <c r="G7" s="22">
        <v>0.125</v>
      </c>
      <c r="H7" s="22">
        <v>0.42859999999999998</v>
      </c>
      <c r="I7" s="21">
        <v>1</v>
      </c>
      <c r="J7" s="22">
        <v>0.26669999999999999</v>
      </c>
      <c r="K7" s="22">
        <v>0.46150000000000002</v>
      </c>
      <c r="L7" s="22">
        <v>0.5333</v>
      </c>
      <c r="M7" s="22">
        <v>0.30769999999999997</v>
      </c>
      <c r="N7" s="22">
        <v>0.33329999999999999</v>
      </c>
    </row>
    <row r="8" spans="1:23" x14ac:dyDescent="0.25">
      <c r="D8" s="26" t="s">
        <v>20</v>
      </c>
      <c r="E8" s="22">
        <v>0.1333</v>
      </c>
      <c r="F8" s="22">
        <v>0.25</v>
      </c>
      <c r="G8" s="22">
        <v>0.23530000000000001</v>
      </c>
      <c r="H8" s="22">
        <v>0.1333</v>
      </c>
      <c r="I8" s="22">
        <v>0.26669999999999999</v>
      </c>
      <c r="J8" s="21">
        <v>1</v>
      </c>
      <c r="K8" s="22">
        <v>0.1429</v>
      </c>
      <c r="L8" s="22">
        <v>0.125</v>
      </c>
      <c r="M8" s="22">
        <v>0.1429</v>
      </c>
      <c r="N8" s="22">
        <v>0.30769999999999997</v>
      </c>
    </row>
    <row r="9" spans="1:23" x14ac:dyDescent="0.25">
      <c r="D9" s="26" t="s">
        <v>21</v>
      </c>
      <c r="E9" s="22">
        <v>0.76919999999999999</v>
      </c>
      <c r="F9" s="22">
        <v>0.85709999999999997</v>
      </c>
      <c r="G9" s="22">
        <v>0.26669999999999999</v>
      </c>
      <c r="H9" s="22">
        <v>0.61539999999999995</v>
      </c>
      <c r="I9" s="22">
        <v>0.46150000000000002</v>
      </c>
      <c r="J9" s="22">
        <v>0.1429</v>
      </c>
      <c r="K9" s="21">
        <v>1</v>
      </c>
      <c r="L9" s="22">
        <v>0.85709999999999997</v>
      </c>
      <c r="M9" s="22">
        <v>0.5</v>
      </c>
      <c r="N9" s="22">
        <v>0.54549999999999998</v>
      </c>
    </row>
    <row r="10" spans="1:23" x14ac:dyDescent="0.25">
      <c r="D10" s="26" t="s">
        <v>22</v>
      </c>
      <c r="E10" s="22">
        <v>0.93330000000000002</v>
      </c>
      <c r="F10" s="22">
        <v>0.875</v>
      </c>
      <c r="G10" s="22">
        <v>0.23530000000000001</v>
      </c>
      <c r="H10" s="22">
        <v>0.8</v>
      </c>
      <c r="I10" s="22">
        <v>0.5333</v>
      </c>
      <c r="J10" s="22">
        <v>0.125</v>
      </c>
      <c r="K10" s="22">
        <v>0.85709999999999997</v>
      </c>
      <c r="L10" s="21">
        <v>1</v>
      </c>
      <c r="M10" s="22">
        <v>0.42859999999999998</v>
      </c>
      <c r="N10" s="22">
        <v>0.46150000000000002</v>
      </c>
    </row>
    <row r="11" spans="1:23" x14ac:dyDescent="0.25">
      <c r="D11" s="26" t="s">
        <v>23</v>
      </c>
      <c r="E11" s="22">
        <v>0.46150000000000002</v>
      </c>
      <c r="F11" s="22">
        <v>0.42859999999999998</v>
      </c>
      <c r="G11" s="22">
        <v>0.1333</v>
      </c>
      <c r="H11" s="22">
        <v>0.46150000000000002</v>
      </c>
      <c r="I11" s="22">
        <v>0.30769999999999997</v>
      </c>
      <c r="J11" s="22">
        <v>0.1429</v>
      </c>
      <c r="K11" s="22">
        <v>0.5</v>
      </c>
      <c r="L11" s="22">
        <v>0.42859999999999998</v>
      </c>
      <c r="M11" s="21">
        <v>1</v>
      </c>
      <c r="N11" s="22">
        <v>0.36359999999999998</v>
      </c>
    </row>
    <row r="12" spans="1:23" x14ac:dyDescent="0.25">
      <c r="D12" s="26" t="s">
        <v>256</v>
      </c>
      <c r="E12" s="22">
        <v>0.5</v>
      </c>
      <c r="F12" s="22">
        <v>0.46150000000000002</v>
      </c>
      <c r="G12" s="22">
        <v>0.1429</v>
      </c>
      <c r="H12" s="22">
        <v>0.66669999999999996</v>
      </c>
      <c r="I12" s="22">
        <v>0.33329999999999999</v>
      </c>
      <c r="J12" s="22">
        <v>0.30769999999999997</v>
      </c>
      <c r="K12" s="22">
        <v>0.54549999999999998</v>
      </c>
      <c r="L12" s="22">
        <v>0.46150000000000002</v>
      </c>
      <c r="M12" s="22">
        <v>0.36359999999999998</v>
      </c>
      <c r="N12" s="21">
        <v>1</v>
      </c>
    </row>
    <row r="16" spans="1:23" x14ac:dyDescent="0.25">
      <c r="N16" s="90"/>
      <c r="O16" s="90"/>
      <c r="P16" s="90"/>
      <c r="Q16" s="90"/>
      <c r="R16" s="90"/>
      <c r="S16" s="90"/>
      <c r="T16" s="90"/>
      <c r="U16" s="90"/>
      <c r="V16" s="90"/>
      <c r="W16" s="90"/>
    </row>
    <row r="17" spans="14:23" x14ac:dyDescent="0.25">
      <c r="N17" s="90"/>
      <c r="O17" s="90"/>
      <c r="P17" s="90"/>
      <c r="Q17" s="90"/>
      <c r="R17" s="90"/>
      <c r="S17" s="90"/>
      <c r="T17" s="90"/>
      <c r="U17" s="90"/>
      <c r="V17" s="90"/>
      <c r="W17" s="90"/>
    </row>
    <row r="18" spans="14:23" x14ac:dyDescent="0.25">
      <c r="N18" s="90"/>
      <c r="O18" s="90"/>
      <c r="P18" s="90"/>
      <c r="Q18" s="90"/>
      <c r="R18" s="90"/>
      <c r="S18" s="90"/>
      <c r="T18" s="90"/>
      <c r="U18" s="90"/>
      <c r="V18" s="90"/>
      <c r="W18" s="90"/>
    </row>
    <row r="19" spans="14:23" x14ac:dyDescent="0.25">
      <c r="N19" s="90"/>
      <c r="O19" s="90"/>
      <c r="P19" s="90"/>
      <c r="Q19" s="90"/>
      <c r="R19" s="90"/>
      <c r="S19" s="90"/>
      <c r="T19" s="90"/>
      <c r="U19" s="90"/>
      <c r="V19" s="90"/>
      <c r="W19" s="90"/>
    </row>
    <row r="20" spans="14:23" x14ac:dyDescent="0.25">
      <c r="N20" s="90"/>
      <c r="O20" s="90"/>
      <c r="P20" s="90"/>
      <c r="Q20" s="90"/>
      <c r="R20" s="90"/>
      <c r="S20" s="90"/>
      <c r="T20" s="90"/>
      <c r="U20" s="90"/>
      <c r="V20" s="90"/>
      <c r="W20" s="90"/>
    </row>
    <row r="21" spans="14:23" x14ac:dyDescent="0.25">
      <c r="N21" s="90"/>
      <c r="O21" s="90"/>
      <c r="P21" s="90"/>
      <c r="Q21" s="90"/>
      <c r="R21" s="90"/>
      <c r="S21" s="90"/>
      <c r="T21" s="90"/>
      <c r="U21" s="90"/>
      <c r="V21" s="90"/>
      <c r="W21" s="90"/>
    </row>
    <row r="22" spans="14:23" x14ac:dyDescent="0.25">
      <c r="N22" s="90"/>
      <c r="O22" s="90"/>
      <c r="P22" s="90"/>
      <c r="Q22" s="90"/>
      <c r="R22" s="90"/>
      <c r="S22" s="90"/>
      <c r="T22" s="90"/>
      <c r="U22" s="90"/>
      <c r="V22" s="90"/>
      <c r="W22" s="90"/>
    </row>
    <row r="23" spans="14:23" x14ac:dyDescent="0.25">
      <c r="N23" s="90"/>
      <c r="O23" s="90"/>
      <c r="P23" s="90"/>
      <c r="Q23" s="90"/>
      <c r="R23" s="90"/>
      <c r="S23" s="90"/>
      <c r="T23" s="90"/>
      <c r="U23" s="90"/>
      <c r="V23" s="90"/>
      <c r="W23" s="90"/>
    </row>
    <row r="24" spans="14:23" x14ac:dyDescent="0.25">
      <c r="N24" s="90"/>
      <c r="O24" s="90"/>
      <c r="P24" s="90"/>
      <c r="Q24" s="90"/>
      <c r="R24" s="90"/>
      <c r="S24" s="90"/>
      <c r="T24" s="90"/>
      <c r="U24" s="90"/>
      <c r="V24" s="90"/>
      <c r="W24" s="90"/>
    </row>
    <row r="25" spans="14:23" x14ac:dyDescent="0.25">
      <c r="N25" s="90"/>
      <c r="O25" s="90"/>
      <c r="P25" s="90"/>
      <c r="Q25" s="90"/>
      <c r="R25" s="90"/>
      <c r="S25" s="90"/>
      <c r="T25" s="90"/>
      <c r="U25" s="90"/>
      <c r="V25" s="90"/>
      <c r="W25" s="9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GO_CLUSTER">
          <controlPr defaultSize="0" autoLine="0" r:id="rId5">
            <anchor moveWithCells="1">
              <from>
                <xdr:col>0</xdr:col>
                <xdr:colOff>333375</xdr:colOff>
                <xdr:row>2</xdr:row>
                <xdr:rowOff>152400</xdr:rowOff>
              </from>
              <to>
                <xdr:col>1</xdr:col>
                <xdr:colOff>419100</xdr:colOff>
                <xdr:row>6</xdr:row>
                <xdr:rowOff>28575</xdr:rowOff>
              </to>
            </anchor>
          </controlPr>
        </control>
      </mc:Choice>
      <mc:Fallback>
        <control shapeId="38913" r:id="rId4" name="GO_CLUSTE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0"/>
  <dimension ref="A1:X100"/>
  <sheetViews>
    <sheetView zoomScale="70" zoomScaleNormal="70" workbookViewId="0">
      <selection activeCell="M22" sqref="M22"/>
    </sheetView>
  </sheetViews>
  <sheetFormatPr defaultColWidth="7.28515625" defaultRowHeight="30" customHeight="1" x14ac:dyDescent="0.25"/>
  <cols>
    <col min="1" max="14" width="7.28515625" style="1"/>
    <col min="15" max="15" width="10" style="1" bestFit="1" customWidth="1"/>
    <col min="16" max="16384" width="7.28515625" style="1"/>
  </cols>
  <sheetData>
    <row r="1" spans="1:24" ht="30" customHeight="1" x14ac:dyDescent="0.25">
      <c r="A1"/>
      <c r="B1"/>
      <c r="C1" t="s">
        <v>2</v>
      </c>
      <c r="D1" t="s">
        <v>3</v>
      </c>
      <c r="E1" t="s">
        <v>5</v>
      </c>
      <c r="F1" t="s">
        <v>4</v>
      </c>
      <c r="G1" t="s">
        <v>13</v>
      </c>
      <c r="H1" t="s">
        <v>14</v>
      </c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</row>
    <row r="2" spans="1:24" ht="30" customHeight="1" x14ac:dyDescent="0.25">
      <c r="A2"/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</row>
    <row r="3" spans="1:24" ht="30" customHeight="1" x14ac:dyDescent="0.25">
      <c r="A3" t="s">
        <v>0</v>
      </c>
      <c r="B3" s="1">
        <v>0</v>
      </c>
      <c r="C3" s="18">
        <v>0</v>
      </c>
      <c r="D3" s="18">
        <v>0</v>
      </c>
      <c r="E3" s="18">
        <v>0</v>
      </c>
      <c r="F3" s="18">
        <v>0</v>
      </c>
      <c r="G3" s="18">
        <v>0</v>
      </c>
      <c r="H3" s="18">
        <v>0</v>
      </c>
    </row>
    <row r="4" spans="1:24" ht="30" customHeight="1" x14ac:dyDescent="0.25">
      <c r="A4" t="s">
        <v>1</v>
      </c>
      <c r="B4" s="1">
        <v>0</v>
      </c>
      <c r="C4" s="18">
        <v>0</v>
      </c>
      <c r="D4" s="18">
        <v>0</v>
      </c>
      <c r="E4" s="18">
        <v>0</v>
      </c>
      <c r="F4" s="18">
        <v>0</v>
      </c>
      <c r="G4" s="18">
        <v>0</v>
      </c>
      <c r="H4" s="18">
        <v>0</v>
      </c>
    </row>
    <row r="5" spans="1:24" ht="30" customHeight="1" x14ac:dyDescent="0.25">
      <c r="A5" t="s">
        <v>2</v>
      </c>
      <c r="B5" s="1">
        <v>0</v>
      </c>
      <c r="C5" s="19">
        <v>1</v>
      </c>
      <c r="D5" s="84">
        <v>1</v>
      </c>
      <c r="E5" s="84">
        <v>1</v>
      </c>
      <c r="F5" s="84">
        <v>1</v>
      </c>
      <c r="G5" s="84">
        <v>1</v>
      </c>
      <c r="H5" s="84">
        <v>1</v>
      </c>
    </row>
    <row r="6" spans="1:24" ht="30" customHeight="1" x14ac:dyDescent="0.25">
      <c r="A6" t="s">
        <v>3</v>
      </c>
      <c r="B6" s="1">
        <v>0</v>
      </c>
      <c r="C6" s="18">
        <v>1</v>
      </c>
      <c r="D6" s="19">
        <v>2</v>
      </c>
      <c r="E6" s="84">
        <v>2</v>
      </c>
      <c r="F6" s="84">
        <v>2</v>
      </c>
      <c r="G6" s="84">
        <v>2</v>
      </c>
      <c r="H6" s="84">
        <v>2</v>
      </c>
    </row>
    <row r="7" spans="1:24" ht="30" customHeight="1" x14ac:dyDescent="0.25">
      <c r="A7" t="s">
        <v>5</v>
      </c>
      <c r="B7" s="1">
        <v>0</v>
      </c>
      <c r="C7" s="18">
        <v>1</v>
      </c>
      <c r="D7" s="18">
        <v>2</v>
      </c>
      <c r="E7" s="19">
        <v>3</v>
      </c>
      <c r="F7" s="84">
        <v>3</v>
      </c>
      <c r="G7" s="84">
        <v>3</v>
      </c>
      <c r="H7" s="84">
        <v>3</v>
      </c>
    </row>
    <row r="8" spans="1:24" ht="30" customHeight="1" x14ac:dyDescent="0.25">
      <c r="A8" t="s">
        <v>4</v>
      </c>
      <c r="B8" s="1">
        <v>0</v>
      </c>
      <c r="C8" s="18">
        <v>1</v>
      </c>
      <c r="D8" s="18">
        <v>2</v>
      </c>
      <c r="E8" s="18">
        <v>3</v>
      </c>
      <c r="F8" s="19">
        <v>4</v>
      </c>
      <c r="G8" s="84">
        <v>4</v>
      </c>
      <c r="H8" s="84">
        <v>4</v>
      </c>
    </row>
    <row r="9" spans="1:24" ht="30" customHeight="1" x14ac:dyDescent="0.25">
      <c r="A9" t="s">
        <v>13</v>
      </c>
      <c r="B9" s="1">
        <v>0</v>
      </c>
      <c r="C9" s="18">
        <v>1</v>
      </c>
      <c r="D9" s="18">
        <v>2</v>
      </c>
      <c r="E9" s="18">
        <v>3</v>
      </c>
      <c r="F9" s="18">
        <v>4</v>
      </c>
      <c r="G9" s="19">
        <v>5</v>
      </c>
      <c r="H9" s="84">
        <v>5</v>
      </c>
    </row>
    <row r="10" spans="1:24" ht="30" customHeight="1" x14ac:dyDescent="0.25">
      <c r="A10" t="s">
        <v>14</v>
      </c>
      <c r="B10" s="1">
        <v>0</v>
      </c>
      <c r="C10" s="18">
        <v>1</v>
      </c>
      <c r="D10" s="18">
        <v>2</v>
      </c>
      <c r="E10" s="18">
        <v>3</v>
      </c>
      <c r="F10" s="18">
        <v>4</v>
      </c>
      <c r="G10" s="18">
        <v>5</v>
      </c>
      <c r="H10" s="82">
        <v>6</v>
      </c>
    </row>
    <row r="11" spans="1:24" ht="30" customHeight="1" x14ac:dyDescent="0.25">
      <c r="A11"/>
    </row>
    <row r="12" spans="1:24" ht="30" customHeight="1" x14ac:dyDescent="0.25">
      <c r="A12"/>
    </row>
    <row r="13" spans="1:24" ht="30" customHeight="1" x14ac:dyDescent="0.25">
      <c r="A13"/>
    </row>
    <row r="14" spans="1:24" ht="30" customHeight="1" x14ac:dyDescent="0.25">
      <c r="A14"/>
    </row>
    <row r="15" spans="1:24" ht="30" customHeight="1" x14ac:dyDescent="0.25">
      <c r="A15"/>
    </row>
    <row r="16" spans="1:24" ht="30" customHeight="1" x14ac:dyDescent="0.25">
      <c r="A16"/>
    </row>
    <row r="17" spans="1:1" ht="30" customHeight="1" x14ac:dyDescent="0.25">
      <c r="A17"/>
    </row>
    <row r="18" spans="1:1" ht="30" customHeight="1" x14ac:dyDescent="0.25">
      <c r="A18"/>
    </row>
    <row r="19" spans="1:1" ht="30" customHeight="1" x14ac:dyDescent="0.25">
      <c r="A19"/>
    </row>
    <row r="20" spans="1:1" ht="30" customHeight="1" x14ac:dyDescent="0.25">
      <c r="A20"/>
    </row>
    <row r="21" spans="1:1" ht="30" customHeight="1" x14ac:dyDescent="0.25">
      <c r="A21"/>
    </row>
    <row r="22" spans="1:1" ht="30" customHeight="1" x14ac:dyDescent="0.25">
      <c r="A22"/>
    </row>
    <row r="23" spans="1:1" ht="30" customHeight="1" x14ac:dyDescent="0.25">
      <c r="A23"/>
    </row>
    <row r="24" spans="1:1" ht="30" customHeight="1" x14ac:dyDescent="0.25">
      <c r="A24"/>
    </row>
    <row r="25" spans="1:1" ht="30" customHeight="1" x14ac:dyDescent="0.25">
      <c r="A25"/>
    </row>
    <row r="26" spans="1:1" ht="30" customHeight="1" x14ac:dyDescent="0.25">
      <c r="A26"/>
    </row>
    <row r="27" spans="1:1" ht="30" customHeight="1" x14ac:dyDescent="0.25">
      <c r="A27"/>
    </row>
    <row r="28" spans="1:1" ht="30" customHeight="1" x14ac:dyDescent="0.25">
      <c r="A28"/>
    </row>
    <row r="29" spans="1:1" ht="30" customHeight="1" x14ac:dyDescent="0.25">
      <c r="A29"/>
    </row>
    <row r="30" spans="1:1" ht="30" customHeight="1" x14ac:dyDescent="0.25">
      <c r="A30"/>
    </row>
    <row r="31" spans="1:1" ht="30" customHeight="1" x14ac:dyDescent="0.25">
      <c r="A31"/>
    </row>
    <row r="32" spans="1:1" ht="30" customHeight="1" x14ac:dyDescent="0.25">
      <c r="A32"/>
    </row>
    <row r="33" spans="1:8" ht="30" customHeight="1" x14ac:dyDescent="0.25">
      <c r="A33"/>
    </row>
    <row r="34" spans="1:8" ht="30" customHeight="1" x14ac:dyDescent="0.25">
      <c r="A34"/>
    </row>
    <row r="35" spans="1:8" ht="30" customHeight="1" x14ac:dyDescent="0.25">
      <c r="A35"/>
    </row>
    <row r="36" spans="1:8" ht="30" customHeight="1" x14ac:dyDescent="0.25">
      <c r="A36"/>
    </row>
    <row r="37" spans="1:8" ht="30" customHeight="1" x14ac:dyDescent="0.25">
      <c r="A37"/>
    </row>
    <row r="38" spans="1:8" ht="30" customHeight="1" x14ac:dyDescent="0.25">
      <c r="A38"/>
    </row>
    <row r="39" spans="1:8" ht="30" customHeight="1" x14ac:dyDescent="0.25">
      <c r="A39"/>
    </row>
    <row r="40" spans="1:8" ht="30" customHeight="1" x14ac:dyDescent="0.25">
      <c r="A40"/>
    </row>
    <row r="41" spans="1:8" ht="30" customHeight="1" x14ac:dyDescent="0.25">
      <c r="A41"/>
    </row>
    <row r="42" spans="1:8" s="20" customFormat="1" ht="30" customHeight="1" x14ac:dyDescent="0.25">
      <c r="A42"/>
    </row>
    <row r="43" spans="1:8" ht="30" customHeight="1" x14ac:dyDescent="0.25">
      <c r="A43"/>
      <c r="C43" s="1">
        <v>1</v>
      </c>
      <c r="D43" s="1">
        <v>1</v>
      </c>
      <c r="E43" s="1">
        <v>1</v>
      </c>
      <c r="F43" s="1">
        <v>1</v>
      </c>
      <c r="G43" s="1">
        <v>1</v>
      </c>
      <c r="H43" s="1">
        <v>1</v>
      </c>
    </row>
    <row r="44" spans="1:8" ht="30" customHeight="1" x14ac:dyDescent="0.25">
      <c r="A44"/>
      <c r="C44" s="1">
        <v>1</v>
      </c>
      <c r="D44" s="1">
        <v>1</v>
      </c>
      <c r="E44" s="1">
        <v>1</v>
      </c>
      <c r="F44" s="1">
        <v>1</v>
      </c>
      <c r="G44" s="1">
        <v>1</v>
      </c>
      <c r="H44" s="1">
        <v>1</v>
      </c>
    </row>
    <row r="45" spans="1:8" ht="30" customHeight="1" x14ac:dyDescent="0.25">
      <c r="A45"/>
      <c r="C45" s="1">
        <v>3</v>
      </c>
      <c r="D45" s="1">
        <v>2</v>
      </c>
      <c r="E45" s="1">
        <v>2</v>
      </c>
      <c r="F45" s="1">
        <v>2</v>
      </c>
      <c r="G45" s="1">
        <v>2</v>
      </c>
      <c r="H45" s="1">
        <v>2</v>
      </c>
    </row>
    <row r="46" spans="1:8" ht="30" customHeight="1" x14ac:dyDescent="0.25">
      <c r="A46"/>
      <c r="C46" s="1">
        <v>1</v>
      </c>
      <c r="D46" s="1">
        <v>3</v>
      </c>
      <c r="E46" s="1">
        <v>2</v>
      </c>
      <c r="F46" s="1">
        <v>2</v>
      </c>
      <c r="G46" s="1">
        <v>2</v>
      </c>
      <c r="H46" s="1">
        <v>2</v>
      </c>
    </row>
    <row r="47" spans="1:8" ht="30" customHeight="1" x14ac:dyDescent="0.25">
      <c r="A47"/>
      <c r="C47" s="1">
        <v>1</v>
      </c>
      <c r="D47" s="1">
        <v>1</v>
      </c>
      <c r="E47" s="1">
        <v>3</v>
      </c>
      <c r="F47" s="1">
        <v>2</v>
      </c>
      <c r="G47" s="1">
        <v>2</v>
      </c>
      <c r="H47" s="1">
        <v>2</v>
      </c>
    </row>
    <row r="48" spans="1:8" ht="30" customHeight="1" x14ac:dyDescent="0.25">
      <c r="A48"/>
      <c r="C48" s="1">
        <v>1</v>
      </c>
      <c r="D48" s="1">
        <v>1</v>
      </c>
      <c r="E48" s="1">
        <v>1</v>
      </c>
      <c r="F48" s="1">
        <v>3</v>
      </c>
      <c r="G48" s="1">
        <v>2</v>
      </c>
      <c r="H48" s="1">
        <v>2</v>
      </c>
    </row>
    <row r="49" spans="1:8" ht="30" customHeight="1" x14ac:dyDescent="0.25">
      <c r="A49"/>
      <c r="C49" s="1">
        <v>1</v>
      </c>
      <c r="D49" s="1">
        <v>1</v>
      </c>
      <c r="E49" s="1">
        <v>1</v>
      </c>
      <c r="F49" s="1">
        <v>1</v>
      </c>
      <c r="G49" s="1">
        <v>3</v>
      </c>
      <c r="H49" s="1">
        <v>2</v>
      </c>
    </row>
    <row r="50" spans="1:8" ht="30" customHeight="1" x14ac:dyDescent="0.25">
      <c r="A50"/>
      <c r="C50" s="1">
        <v>1</v>
      </c>
      <c r="D50" s="1">
        <v>1</v>
      </c>
      <c r="E50" s="1">
        <v>1</v>
      </c>
      <c r="F50" s="1">
        <v>1</v>
      </c>
      <c r="G50" s="1">
        <v>1</v>
      </c>
      <c r="H50" s="1">
        <v>3</v>
      </c>
    </row>
    <row r="51" spans="1:8" ht="30" customHeight="1" x14ac:dyDescent="0.25">
      <c r="A51"/>
    </row>
    <row r="52" spans="1:8" ht="30" customHeight="1" x14ac:dyDescent="0.25">
      <c r="A52"/>
    </row>
    <row r="53" spans="1:8" ht="30" customHeight="1" x14ac:dyDescent="0.25">
      <c r="A53"/>
    </row>
    <row r="54" spans="1:8" ht="30" customHeight="1" x14ac:dyDescent="0.25">
      <c r="A54"/>
    </row>
    <row r="55" spans="1:8" ht="30" customHeight="1" x14ac:dyDescent="0.25">
      <c r="A55"/>
    </row>
    <row r="56" spans="1:8" ht="30" customHeight="1" x14ac:dyDescent="0.25">
      <c r="A56"/>
    </row>
    <row r="57" spans="1:8" ht="30" customHeight="1" x14ac:dyDescent="0.25">
      <c r="A57"/>
    </row>
    <row r="58" spans="1:8" ht="30" customHeight="1" x14ac:dyDescent="0.25">
      <c r="A58"/>
    </row>
    <row r="59" spans="1:8" ht="30" customHeight="1" x14ac:dyDescent="0.25">
      <c r="A59"/>
    </row>
    <row r="60" spans="1:8" ht="30" customHeight="1" x14ac:dyDescent="0.25">
      <c r="A60"/>
    </row>
    <row r="61" spans="1:8" ht="30" customHeight="1" x14ac:dyDescent="0.25">
      <c r="A61"/>
    </row>
    <row r="62" spans="1:8" ht="30" customHeight="1" x14ac:dyDescent="0.25">
      <c r="A62"/>
    </row>
    <row r="63" spans="1:8" ht="30" customHeight="1" x14ac:dyDescent="0.25">
      <c r="A63"/>
    </row>
    <row r="64" spans="1:8" ht="30" customHeight="1" x14ac:dyDescent="0.25">
      <c r="A64"/>
    </row>
    <row r="65" spans="1:1" ht="30" customHeight="1" x14ac:dyDescent="0.25">
      <c r="A65"/>
    </row>
    <row r="66" spans="1:1" ht="30" customHeight="1" x14ac:dyDescent="0.25">
      <c r="A66"/>
    </row>
    <row r="67" spans="1:1" ht="30" customHeight="1" x14ac:dyDescent="0.25">
      <c r="A67"/>
    </row>
    <row r="68" spans="1:1" ht="30" customHeight="1" x14ac:dyDescent="0.25">
      <c r="A68"/>
    </row>
    <row r="69" spans="1:1" ht="30" customHeight="1" x14ac:dyDescent="0.25">
      <c r="A69"/>
    </row>
    <row r="70" spans="1:1" ht="30" customHeight="1" x14ac:dyDescent="0.25">
      <c r="A70"/>
    </row>
    <row r="71" spans="1:1" ht="30" customHeight="1" x14ac:dyDescent="0.25">
      <c r="A71"/>
    </row>
    <row r="72" spans="1:1" ht="30" customHeight="1" x14ac:dyDescent="0.25">
      <c r="A72"/>
    </row>
    <row r="73" spans="1:1" ht="30" customHeight="1" x14ac:dyDescent="0.25">
      <c r="A73"/>
    </row>
    <row r="74" spans="1:1" ht="30" customHeight="1" x14ac:dyDescent="0.25">
      <c r="A74"/>
    </row>
    <row r="75" spans="1:1" ht="30" customHeight="1" x14ac:dyDescent="0.25">
      <c r="A75"/>
    </row>
    <row r="76" spans="1:1" ht="30" customHeight="1" x14ac:dyDescent="0.25">
      <c r="A76"/>
    </row>
    <row r="77" spans="1:1" ht="30" customHeight="1" x14ac:dyDescent="0.25">
      <c r="A77"/>
    </row>
    <row r="78" spans="1:1" ht="30" customHeight="1" x14ac:dyDescent="0.25">
      <c r="A78"/>
    </row>
    <row r="79" spans="1:1" ht="30" customHeight="1" x14ac:dyDescent="0.25">
      <c r="A79"/>
    </row>
    <row r="80" spans="1:1" ht="30" customHeight="1" x14ac:dyDescent="0.25">
      <c r="A80"/>
    </row>
    <row r="81" spans="1:1" ht="30" customHeight="1" x14ac:dyDescent="0.25">
      <c r="A81"/>
    </row>
    <row r="82" spans="1:1" ht="30" customHeight="1" x14ac:dyDescent="0.25">
      <c r="A82"/>
    </row>
    <row r="83" spans="1:1" ht="30" customHeight="1" x14ac:dyDescent="0.25">
      <c r="A83"/>
    </row>
    <row r="84" spans="1:1" ht="30" customHeight="1" x14ac:dyDescent="0.25">
      <c r="A84"/>
    </row>
    <row r="85" spans="1:1" ht="30" customHeight="1" x14ac:dyDescent="0.25">
      <c r="A85"/>
    </row>
    <row r="86" spans="1:1" ht="30" customHeight="1" x14ac:dyDescent="0.25">
      <c r="A86"/>
    </row>
    <row r="87" spans="1:1" ht="30" customHeight="1" x14ac:dyDescent="0.25">
      <c r="A87"/>
    </row>
    <row r="88" spans="1:1" ht="30" customHeight="1" x14ac:dyDescent="0.25">
      <c r="A88"/>
    </row>
    <row r="89" spans="1:1" ht="30" customHeight="1" x14ac:dyDescent="0.25">
      <c r="A89"/>
    </row>
    <row r="90" spans="1:1" ht="30" customHeight="1" x14ac:dyDescent="0.25">
      <c r="A90"/>
    </row>
    <row r="91" spans="1:1" ht="30" customHeight="1" x14ac:dyDescent="0.25">
      <c r="A91"/>
    </row>
    <row r="92" spans="1:1" ht="30" customHeight="1" x14ac:dyDescent="0.25">
      <c r="A92"/>
    </row>
    <row r="93" spans="1:1" ht="30" customHeight="1" x14ac:dyDescent="0.25">
      <c r="A93"/>
    </row>
    <row r="94" spans="1:1" ht="30" customHeight="1" x14ac:dyDescent="0.25">
      <c r="A94"/>
    </row>
    <row r="95" spans="1:1" ht="30" customHeight="1" x14ac:dyDescent="0.25">
      <c r="A95"/>
    </row>
    <row r="96" spans="1:1" ht="30" customHeight="1" x14ac:dyDescent="0.25">
      <c r="A96"/>
    </row>
    <row r="97" spans="1:1" ht="30" customHeight="1" x14ac:dyDescent="0.25">
      <c r="A97"/>
    </row>
    <row r="98" spans="1:1" ht="30" customHeight="1" x14ac:dyDescent="0.25">
      <c r="A98"/>
    </row>
    <row r="99" spans="1:1" ht="30" customHeight="1" x14ac:dyDescent="0.25">
      <c r="A99"/>
    </row>
    <row r="100" spans="1:1" ht="30" customHeight="1" x14ac:dyDescent="0.25">
      <c r="A100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"/>
  <dimension ref="A1:C4"/>
  <sheetViews>
    <sheetView workbookViewId="0">
      <selection activeCell="G28" sqref="G28"/>
    </sheetView>
  </sheetViews>
  <sheetFormatPr defaultRowHeight="15" x14ac:dyDescent="0.25"/>
  <cols>
    <col min="1" max="10" width="11" bestFit="1" customWidth="1"/>
  </cols>
  <sheetData>
    <row r="1" spans="1:3" x14ac:dyDescent="0.25">
      <c r="A1" t="s">
        <v>15</v>
      </c>
      <c r="B1" t="s">
        <v>22</v>
      </c>
      <c r="C1" t="s">
        <v>21</v>
      </c>
    </row>
    <row r="2" spans="1:3" x14ac:dyDescent="0.25">
      <c r="A2">
        <v>1200</v>
      </c>
      <c r="B2">
        <v>1000</v>
      </c>
      <c r="C2">
        <v>2500</v>
      </c>
    </row>
    <row r="3" spans="1:3" x14ac:dyDescent="0.25">
      <c r="A3">
        <v>450</v>
      </c>
      <c r="B3">
        <v>500</v>
      </c>
      <c r="C3">
        <v>480</v>
      </c>
    </row>
    <row r="4" spans="1:3" x14ac:dyDescent="0.25">
      <c r="A4">
        <v>375</v>
      </c>
      <c r="B4">
        <v>500</v>
      </c>
      <c r="C4">
        <v>192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2"/>
  <dimension ref="A1:DO101"/>
  <sheetViews>
    <sheetView topLeftCell="H1" zoomScale="85" zoomScaleNormal="85" workbookViewId="0">
      <selection activeCell="DK1" sqref="DK1"/>
    </sheetView>
  </sheetViews>
  <sheetFormatPr defaultRowHeight="15" x14ac:dyDescent="0.25"/>
  <cols>
    <col min="1" max="2" width="9.140625" style="40"/>
    <col min="3" max="3" width="12.5703125" style="42" bestFit="1" customWidth="1"/>
    <col min="4" max="4" width="12.5703125" style="43" bestFit="1" customWidth="1"/>
    <col min="5" max="8" width="9.140625" style="40"/>
    <col min="9" max="9" width="9.140625" style="44"/>
    <col min="10" max="11" width="9.140625" style="40"/>
    <col min="12" max="12" width="14.7109375" style="44" customWidth="1"/>
    <col min="13" max="14" width="9.140625" style="44"/>
    <col min="15" max="16" width="9.140625" style="40"/>
    <col min="17" max="17" width="10.28515625" style="41" bestFit="1" customWidth="1"/>
    <col min="18" max="18" width="10.7109375" style="40" bestFit="1" customWidth="1"/>
    <col min="19" max="16384" width="9.140625" style="40"/>
  </cols>
  <sheetData>
    <row r="1" spans="1:119" s="26" customFormat="1" x14ac:dyDescent="0.25">
      <c r="A1" s="26" t="s">
        <v>171</v>
      </c>
      <c r="B1" s="26" t="s">
        <v>172</v>
      </c>
      <c r="C1" s="26" t="s">
        <v>166</v>
      </c>
      <c r="D1" s="26" t="s">
        <v>167</v>
      </c>
      <c r="E1" s="26" t="s">
        <v>162</v>
      </c>
      <c r="F1" s="26" t="s">
        <v>163</v>
      </c>
      <c r="G1" s="26" t="s">
        <v>164</v>
      </c>
      <c r="H1" s="26" t="s">
        <v>165</v>
      </c>
      <c r="I1" s="26" t="s">
        <v>168</v>
      </c>
      <c r="J1" s="26">
        <v>1</v>
      </c>
      <c r="K1" s="26">
        <v>8</v>
      </c>
      <c r="L1" s="26" t="s">
        <v>169</v>
      </c>
      <c r="M1" s="26" t="s">
        <v>174</v>
      </c>
      <c r="N1" s="26" t="s">
        <v>170</v>
      </c>
      <c r="O1" s="26" t="s">
        <v>177</v>
      </c>
      <c r="P1" s="26" t="s">
        <v>173</v>
      </c>
      <c r="Q1" s="23" t="s">
        <v>314</v>
      </c>
      <c r="R1" s="23" t="s">
        <v>315</v>
      </c>
      <c r="T1" s="26">
        <v>38</v>
      </c>
      <c r="U1" s="26">
        <v>40</v>
      </c>
      <c r="V1" s="26">
        <v>40</v>
      </c>
      <c r="W1" s="26">
        <v>42</v>
      </c>
      <c r="X1" s="26">
        <v>42</v>
      </c>
      <c r="Y1" s="26">
        <v>42</v>
      </c>
      <c r="Z1" s="26">
        <v>43</v>
      </c>
      <c r="AA1" s="26">
        <v>43</v>
      </c>
      <c r="AB1" s="26">
        <v>43</v>
      </c>
      <c r="AC1" s="26">
        <v>44</v>
      </c>
      <c r="AD1" s="26">
        <v>44</v>
      </c>
      <c r="AE1" s="26">
        <v>46</v>
      </c>
      <c r="AF1" s="26">
        <v>48</v>
      </c>
      <c r="AG1" s="26">
        <v>48</v>
      </c>
      <c r="AH1" s="26">
        <v>48</v>
      </c>
      <c r="AI1" s="26">
        <v>48</v>
      </c>
      <c r="AJ1" s="26">
        <v>48</v>
      </c>
      <c r="AK1" s="26">
        <v>49</v>
      </c>
      <c r="AL1" s="26">
        <v>49</v>
      </c>
      <c r="AM1" s="26">
        <v>51</v>
      </c>
      <c r="AN1" s="26">
        <v>51</v>
      </c>
      <c r="AO1" s="26">
        <v>56</v>
      </c>
      <c r="AP1" s="26">
        <v>56</v>
      </c>
      <c r="AQ1" s="26">
        <v>56</v>
      </c>
      <c r="AR1" s="26">
        <v>56</v>
      </c>
      <c r="AS1" s="26">
        <v>56</v>
      </c>
      <c r="AT1" s="26">
        <v>56</v>
      </c>
      <c r="AU1" s="26">
        <v>56</v>
      </c>
      <c r="AV1" s="26">
        <v>57</v>
      </c>
      <c r="AW1" s="26">
        <v>57</v>
      </c>
      <c r="AX1" s="26">
        <v>59</v>
      </c>
      <c r="AY1" s="26">
        <v>61</v>
      </c>
      <c r="AZ1" s="26">
        <v>61</v>
      </c>
      <c r="BA1" s="26">
        <v>62</v>
      </c>
      <c r="BB1" s="26">
        <v>62</v>
      </c>
      <c r="BC1" s="26">
        <v>62</v>
      </c>
      <c r="BD1" s="26">
        <v>62</v>
      </c>
      <c r="BE1" s="26">
        <v>62</v>
      </c>
      <c r="BF1" s="26">
        <v>64</v>
      </c>
      <c r="BG1" s="26">
        <v>65</v>
      </c>
      <c r="BH1" s="26">
        <v>65</v>
      </c>
      <c r="BI1" s="26">
        <v>67</v>
      </c>
      <c r="BJ1" s="26">
        <v>69</v>
      </c>
      <c r="BK1" s="26">
        <v>69</v>
      </c>
      <c r="BL1" s="26">
        <v>70</v>
      </c>
      <c r="BM1" s="26">
        <v>70</v>
      </c>
      <c r="BN1" s="26">
        <v>70</v>
      </c>
      <c r="BO1" s="26">
        <v>72</v>
      </c>
      <c r="BP1" s="26">
        <v>72</v>
      </c>
      <c r="BQ1" s="26">
        <v>72</v>
      </c>
      <c r="BR1" s="26">
        <v>72</v>
      </c>
      <c r="BS1" s="26">
        <v>75</v>
      </c>
      <c r="BT1" s="26">
        <v>75</v>
      </c>
      <c r="BU1" s="26">
        <v>75</v>
      </c>
      <c r="BV1" s="26">
        <v>75</v>
      </c>
      <c r="BW1" s="26">
        <v>75</v>
      </c>
      <c r="BX1" s="26">
        <v>78</v>
      </c>
      <c r="BY1" s="26">
        <v>78</v>
      </c>
      <c r="BZ1" s="26">
        <v>78</v>
      </c>
      <c r="CA1" s="26">
        <v>78</v>
      </c>
      <c r="CB1" s="26">
        <v>78</v>
      </c>
      <c r="CC1" s="26">
        <v>80</v>
      </c>
      <c r="CD1" s="26">
        <v>81</v>
      </c>
      <c r="CE1" s="26">
        <v>81</v>
      </c>
      <c r="CF1" s="26">
        <v>81</v>
      </c>
      <c r="CG1" s="26">
        <v>85</v>
      </c>
      <c r="CH1" s="26">
        <v>85</v>
      </c>
      <c r="CI1" s="26">
        <v>85</v>
      </c>
      <c r="CJ1" s="26">
        <v>86</v>
      </c>
      <c r="CK1" s="26">
        <v>86</v>
      </c>
      <c r="CL1" s="26">
        <v>86</v>
      </c>
      <c r="CM1" s="26">
        <v>88</v>
      </c>
      <c r="CN1" s="26">
        <v>88</v>
      </c>
      <c r="CO1" s="26">
        <v>89</v>
      </c>
      <c r="CP1" s="26">
        <v>91</v>
      </c>
      <c r="CQ1" s="26">
        <v>91</v>
      </c>
      <c r="CR1" s="26">
        <v>91</v>
      </c>
      <c r="CS1" s="26">
        <v>91</v>
      </c>
      <c r="CT1" s="26">
        <v>91</v>
      </c>
      <c r="CU1" s="26">
        <v>92</v>
      </c>
      <c r="CV1" s="26">
        <v>92</v>
      </c>
      <c r="CW1" s="26">
        <v>94</v>
      </c>
      <c r="CX1" s="26">
        <v>96</v>
      </c>
      <c r="CY1" s="26">
        <v>96</v>
      </c>
      <c r="CZ1" s="26">
        <v>97</v>
      </c>
      <c r="DA1" s="26">
        <v>97</v>
      </c>
      <c r="DB1" s="26">
        <v>97</v>
      </c>
      <c r="DC1" s="26">
        <v>97</v>
      </c>
      <c r="DD1" s="26">
        <v>99</v>
      </c>
      <c r="DE1" s="26">
        <v>99</v>
      </c>
      <c r="DF1" s="26">
        <v>99</v>
      </c>
      <c r="DG1" s="26">
        <v>104</v>
      </c>
      <c r="DH1" s="26">
        <v>104</v>
      </c>
      <c r="DI1" s="26">
        <v>104</v>
      </c>
      <c r="DJ1" s="26">
        <v>104</v>
      </c>
      <c r="DK1" s="26">
        <v>105</v>
      </c>
      <c r="DL1" s="26">
        <v>105</v>
      </c>
      <c r="DM1" s="26">
        <v>105</v>
      </c>
      <c r="DN1" s="26">
        <v>105</v>
      </c>
      <c r="DO1" s="26">
        <v>105</v>
      </c>
    </row>
    <row r="2" spans="1:119" x14ac:dyDescent="0.25">
      <c r="A2" s="40" t="s">
        <v>2</v>
      </c>
      <c r="B2" s="40" t="s">
        <v>0</v>
      </c>
      <c r="C2" s="40" t="s">
        <v>14</v>
      </c>
      <c r="D2" s="40" t="s">
        <v>2</v>
      </c>
      <c r="E2" s="2">
        <v>7</v>
      </c>
      <c r="F2" s="40">
        <v>5</v>
      </c>
      <c r="G2" s="2">
        <v>1</v>
      </c>
      <c r="H2" s="40">
        <v>2</v>
      </c>
      <c r="I2" s="40">
        <v>2</v>
      </c>
      <c r="J2" s="2" t="s">
        <v>21</v>
      </c>
      <c r="K2" s="40" t="s">
        <v>257</v>
      </c>
      <c r="L2" s="40" t="s">
        <v>257</v>
      </c>
      <c r="M2" s="40" t="s">
        <v>0</v>
      </c>
      <c r="N2" s="40">
        <v>5</v>
      </c>
      <c r="O2" s="40">
        <v>875</v>
      </c>
      <c r="P2" s="40">
        <v>3</v>
      </c>
      <c r="T2" s="40">
        <v>3</v>
      </c>
      <c r="U2" s="40">
        <v>3</v>
      </c>
      <c r="V2" s="40">
        <v>3</v>
      </c>
      <c r="W2" s="40">
        <v>3</v>
      </c>
      <c r="X2" s="40">
        <v>3</v>
      </c>
      <c r="Y2" s="40">
        <v>3</v>
      </c>
      <c r="Z2" s="40">
        <v>3</v>
      </c>
      <c r="AA2" s="40">
        <v>3</v>
      </c>
      <c r="AB2" s="40">
        <v>3</v>
      </c>
      <c r="AC2" s="40">
        <v>3</v>
      </c>
      <c r="AD2" s="40">
        <v>3</v>
      </c>
      <c r="AE2" s="40">
        <v>3</v>
      </c>
      <c r="AF2" s="40">
        <v>3</v>
      </c>
      <c r="AG2" s="40">
        <v>3</v>
      </c>
      <c r="AH2" s="40">
        <v>3</v>
      </c>
      <c r="AI2" s="40">
        <v>3</v>
      </c>
      <c r="AJ2" s="40">
        <v>3</v>
      </c>
      <c r="AK2" s="40">
        <v>3</v>
      </c>
      <c r="AL2" s="40">
        <v>3</v>
      </c>
      <c r="AM2" s="40">
        <v>4</v>
      </c>
      <c r="AN2" s="40">
        <v>4</v>
      </c>
      <c r="AO2" s="40">
        <v>4</v>
      </c>
      <c r="AP2" s="40">
        <v>4</v>
      </c>
      <c r="AQ2" s="40">
        <v>4</v>
      </c>
      <c r="AR2" s="40">
        <v>4</v>
      </c>
      <c r="AS2" s="40">
        <v>4</v>
      </c>
      <c r="AT2" s="40">
        <v>4</v>
      </c>
      <c r="AU2" s="40">
        <v>4</v>
      </c>
      <c r="AV2" s="40">
        <v>4</v>
      </c>
      <c r="AW2" s="40">
        <v>4</v>
      </c>
      <c r="AX2" s="40">
        <v>4</v>
      </c>
      <c r="AY2" s="40">
        <v>4</v>
      </c>
      <c r="AZ2" s="40">
        <v>4</v>
      </c>
      <c r="BA2" s="40">
        <v>4</v>
      </c>
      <c r="BB2" s="40">
        <v>4</v>
      </c>
      <c r="BC2" s="40">
        <v>4</v>
      </c>
      <c r="BD2" s="40">
        <v>4</v>
      </c>
      <c r="BE2" s="40">
        <v>4</v>
      </c>
      <c r="BF2" s="40">
        <v>4</v>
      </c>
      <c r="BG2" s="40">
        <v>4</v>
      </c>
      <c r="BH2" s="40">
        <v>4</v>
      </c>
      <c r="BI2" s="40">
        <v>4</v>
      </c>
      <c r="BJ2" s="40">
        <v>5</v>
      </c>
      <c r="BK2" s="40">
        <v>5</v>
      </c>
      <c r="BL2" s="40">
        <v>5</v>
      </c>
      <c r="BM2" s="40">
        <v>5</v>
      </c>
      <c r="BN2" s="40">
        <v>5</v>
      </c>
      <c r="BO2" s="40">
        <v>5</v>
      </c>
      <c r="BP2" s="40">
        <v>5</v>
      </c>
      <c r="BQ2" s="40">
        <v>5</v>
      </c>
      <c r="BR2" s="40">
        <v>5</v>
      </c>
      <c r="BS2" s="40">
        <v>5</v>
      </c>
      <c r="BT2" s="40">
        <v>5</v>
      </c>
      <c r="BU2" s="40">
        <v>5</v>
      </c>
      <c r="BV2" s="40">
        <v>5</v>
      </c>
      <c r="BW2" s="40">
        <v>5</v>
      </c>
      <c r="BX2" s="40">
        <v>5</v>
      </c>
      <c r="BY2" s="40">
        <v>5</v>
      </c>
      <c r="BZ2" s="40">
        <v>5</v>
      </c>
      <c r="CA2" s="40">
        <v>5</v>
      </c>
      <c r="CB2" s="40">
        <v>5</v>
      </c>
      <c r="CC2" s="40">
        <v>5</v>
      </c>
      <c r="CD2" s="40">
        <v>5</v>
      </c>
      <c r="CE2" s="40">
        <v>5</v>
      </c>
      <c r="CF2" s="40">
        <v>5</v>
      </c>
      <c r="CG2" s="40">
        <v>6</v>
      </c>
      <c r="CH2" s="40">
        <v>6</v>
      </c>
      <c r="CI2" s="40">
        <v>6</v>
      </c>
      <c r="CJ2" s="40">
        <v>6</v>
      </c>
      <c r="CK2" s="40">
        <v>6</v>
      </c>
      <c r="CL2" s="40">
        <v>6</v>
      </c>
      <c r="CM2" s="40">
        <v>6</v>
      </c>
      <c r="CN2" s="40">
        <v>6</v>
      </c>
      <c r="CO2" s="40">
        <v>6</v>
      </c>
      <c r="CP2" s="40">
        <v>6</v>
      </c>
      <c r="CQ2" s="40">
        <v>6</v>
      </c>
      <c r="CR2" s="40">
        <v>6</v>
      </c>
      <c r="CS2" s="40">
        <v>6</v>
      </c>
      <c r="CT2" s="40">
        <v>6</v>
      </c>
      <c r="CU2" s="40">
        <v>6</v>
      </c>
      <c r="CV2" s="40">
        <v>6</v>
      </c>
      <c r="CW2" s="40">
        <v>6</v>
      </c>
      <c r="CX2" s="40">
        <v>6</v>
      </c>
      <c r="CY2" s="40">
        <v>6</v>
      </c>
      <c r="CZ2" s="40">
        <v>6</v>
      </c>
      <c r="DA2" s="40">
        <v>6</v>
      </c>
      <c r="DB2" s="40">
        <v>6</v>
      </c>
      <c r="DC2" s="40">
        <v>6</v>
      </c>
      <c r="DD2" s="40">
        <v>7</v>
      </c>
      <c r="DE2" s="40">
        <v>7</v>
      </c>
      <c r="DF2" s="40">
        <v>7</v>
      </c>
      <c r="DG2" s="40">
        <v>7</v>
      </c>
      <c r="DH2" s="40">
        <v>7</v>
      </c>
      <c r="DI2" s="40">
        <v>7</v>
      </c>
      <c r="DJ2" s="40">
        <v>7</v>
      </c>
      <c r="DK2" s="40">
        <v>7</v>
      </c>
      <c r="DL2" s="40">
        <v>7</v>
      </c>
      <c r="DM2" s="40">
        <v>7</v>
      </c>
      <c r="DN2" s="40">
        <v>7</v>
      </c>
      <c r="DO2" s="40">
        <v>7</v>
      </c>
    </row>
    <row r="3" spans="1:119" x14ac:dyDescent="0.25">
      <c r="A3" s="40" t="s">
        <v>3</v>
      </c>
      <c r="B3" s="40" t="s">
        <v>1</v>
      </c>
      <c r="C3" s="40" t="s">
        <v>13</v>
      </c>
      <c r="D3" s="40" t="s">
        <v>3</v>
      </c>
      <c r="E3" s="2">
        <v>6</v>
      </c>
      <c r="F3" s="40">
        <v>5</v>
      </c>
      <c r="G3" s="2">
        <v>1</v>
      </c>
      <c r="H3" s="40">
        <v>2</v>
      </c>
      <c r="I3" s="40">
        <v>2</v>
      </c>
      <c r="J3" s="2" t="s">
        <v>21</v>
      </c>
      <c r="K3" s="40" t="s">
        <v>257</v>
      </c>
      <c r="L3" s="40" t="s">
        <v>257</v>
      </c>
      <c r="M3" s="40" t="s">
        <v>1</v>
      </c>
      <c r="N3" s="40">
        <v>5</v>
      </c>
      <c r="O3" s="40">
        <v>875</v>
      </c>
      <c r="P3" s="40">
        <v>3</v>
      </c>
      <c r="Q3" s="41">
        <v>1</v>
      </c>
      <c r="R3" s="40" t="s">
        <v>348</v>
      </c>
      <c r="T3" s="40">
        <v>3</v>
      </c>
      <c r="U3" s="40">
        <v>3</v>
      </c>
      <c r="V3" s="40">
        <v>3</v>
      </c>
      <c r="W3" s="40">
        <v>3</v>
      </c>
      <c r="X3" s="40">
        <v>3</v>
      </c>
      <c r="Y3" s="40">
        <v>3</v>
      </c>
      <c r="Z3" s="40">
        <v>3</v>
      </c>
      <c r="AA3" s="40">
        <v>3</v>
      </c>
      <c r="AB3" s="40">
        <v>3</v>
      </c>
      <c r="AC3" s="40">
        <v>3</v>
      </c>
      <c r="AD3" s="40">
        <v>3</v>
      </c>
      <c r="AE3" s="40">
        <v>3</v>
      </c>
      <c r="AF3" s="40">
        <v>3</v>
      </c>
      <c r="AG3" s="40">
        <v>3</v>
      </c>
      <c r="AH3" s="40">
        <v>3</v>
      </c>
      <c r="AI3" s="40">
        <v>3</v>
      </c>
      <c r="AJ3" s="40">
        <v>3</v>
      </c>
      <c r="AK3" s="40">
        <v>3</v>
      </c>
      <c r="AL3" s="40">
        <v>3</v>
      </c>
      <c r="AM3" s="40">
        <v>4</v>
      </c>
      <c r="AN3" s="40">
        <v>4</v>
      </c>
      <c r="AO3" s="40">
        <v>4</v>
      </c>
      <c r="AP3" s="40">
        <v>4</v>
      </c>
      <c r="AQ3" s="40">
        <v>4</v>
      </c>
      <c r="AR3" s="40">
        <v>4</v>
      </c>
      <c r="AS3" s="40">
        <v>4</v>
      </c>
      <c r="AT3" s="40">
        <v>4</v>
      </c>
      <c r="AU3" s="40">
        <v>4</v>
      </c>
      <c r="AV3" s="40">
        <v>4</v>
      </c>
      <c r="AW3" s="40">
        <v>4</v>
      </c>
      <c r="AX3" s="40">
        <v>4</v>
      </c>
      <c r="AY3" s="40">
        <v>4</v>
      </c>
      <c r="AZ3" s="40">
        <v>4</v>
      </c>
      <c r="BA3" s="40">
        <v>4</v>
      </c>
      <c r="BB3" s="40">
        <v>4</v>
      </c>
      <c r="BC3" s="40">
        <v>4</v>
      </c>
      <c r="BD3" s="40">
        <v>4</v>
      </c>
      <c r="BE3" s="40">
        <v>4</v>
      </c>
      <c r="BF3" s="40">
        <v>4</v>
      </c>
      <c r="BG3" s="40">
        <v>4</v>
      </c>
      <c r="BH3" s="40">
        <v>4</v>
      </c>
      <c r="BI3" s="40">
        <v>4</v>
      </c>
      <c r="BJ3" s="40">
        <v>5</v>
      </c>
      <c r="BK3" s="40">
        <v>5</v>
      </c>
      <c r="BL3" s="40">
        <v>5</v>
      </c>
      <c r="BM3" s="40">
        <v>5</v>
      </c>
      <c r="BN3" s="40">
        <v>5</v>
      </c>
      <c r="BO3" s="40">
        <v>5</v>
      </c>
      <c r="BP3" s="40">
        <v>5</v>
      </c>
      <c r="BQ3" s="40">
        <v>5</v>
      </c>
      <c r="BR3" s="40">
        <v>5</v>
      </c>
      <c r="BS3" s="40">
        <v>5</v>
      </c>
      <c r="BT3" s="40">
        <v>5</v>
      </c>
      <c r="BU3" s="40">
        <v>5</v>
      </c>
      <c r="BV3" s="40">
        <v>5</v>
      </c>
      <c r="BW3" s="40">
        <v>5</v>
      </c>
      <c r="BX3" s="40">
        <v>5</v>
      </c>
      <c r="BY3" s="40">
        <v>5</v>
      </c>
      <c r="BZ3" s="40">
        <v>5</v>
      </c>
      <c r="CA3" s="40">
        <v>5</v>
      </c>
      <c r="CB3" s="40">
        <v>5</v>
      </c>
      <c r="CC3" s="40">
        <v>5</v>
      </c>
      <c r="CD3" s="40">
        <v>5</v>
      </c>
      <c r="CE3" s="40">
        <v>5</v>
      </c>
      <c r="CF3" s="40">
        <v>5</v>
      </c>
      <c r="CG3" s="40">
        <v>6</v>
      </c>
      <c r="CH3" s="40">
        <v>6</v>
      </c>
      <c r="CI3" s="40">
        <v>6</v>
      </c>
      <c r="CJ3" s="40">
        <v>6</v>
      </c>
      <c r="CK3" s="40">
        <v>6</v>
      </c>
      <c r="CL3" s="40">
        <v>6</v>
      </c>
      <c r="CM3" s="40">
        <v>6</v>
      </c>
      <c r="CN3" s="40">
        <v>6</v>
      </c>
      <c r="CO3" s="40">
        <v>6</v>
      </c>
      <c r="CP3" s="40">
        <v>6</v>
      </c>
      <c r="CQ3" s="40">
        <v>6</v>
      </c>
      <c r="CR3" s="40">
        <v>6</v>
      </c>
      <c r="CS3" s="40">
        <v>6</v>
      </c>
      <c r="CT3" s="40">
        <v>6</v>
      </c>
      <c r="CU3" s="40">
        <v>6</v>
      </c>
      <c r="CV3" s="40">
        <v>6</v>
      </c>
      <c r="CW3" s="40">
        <v>6</v>
      </c>
      <c r="CX3" s="40">
        <v>6</v>
      </c>
      <c r="CY3" s="40">
        <v>6</v>
      </c>
      <c r="CZ3" s="40">
        <v>6</v>
      </c>
      <c r="DA3" s="40">
        <v>6</v>
      </c>
      <c r="DB3" s="40">
        <v>6</v>
      </c>
      <c r="DC3" s="40">
        <v>6</v>
      </c>
      <c r="DD3" s="40">
        <v>7</v>
      </c>
      <c r="DE3" s="40">
        <v>7</v>
      </c>
      <c r="DF3" s="40">
        <v>7</v>
      </c>
      <c r="DG3" s="40">
        <v>7</v>
      </c>
      <c r="DH3" s="40">
        <v>7</v>
      </c>
      <c r="DI3" s="40">
        <v>7</v>
      </c>
      <c r="DJ3" s="40">
        <v>7</v>
      </c>
      <c r="DK3" s="40">
        <v>7</v>
      </c>
      <c r="DL3" s="40">
        <v>7</v>
      </c>
      <c r="DM3" s="40">
        <v>7</v>
      </c>
      <c r="DN3" s="40">
        <v>7</v>
      </c>
      <c r="DO3" s="40">
        <v>7</v>
      </c>
    </row>
    <row r="4" spans="1:119" x14ac:dyDescent="0.25">
      <c r="A4" s="40" t="s">
        <v>5</v>
      </c>
      <c r="B4" s="40" t="s">
        <v>2</v>
      </c>
      <c r="C4" s="40" t="s">
        <v>4</v>
      </c>
      <c r="D4" s="40" t="s">
        <v>5</v>
      </c>
      <c r="E4" s="2">
        <v>9</v>
      </c>
      <c r="F4" s="40">
        <v>7</v>
      </c>
      <c r="G4" s="2">
        <v>1</v>
      </c>
      <c r="H4" s="40">
        <v>2</v>
      </c>
      <c r="I4" s="40">
        <v>3</v>
      </c>
      <c r="J4" s="2" t="s">
        <v>21</v>
      </c>
      <c r="K4" s="40" t="s">
        <v>257</v>
      </c>
      <c r="L4" s="40" t="s">
        <v>346</v>
      </c>
      <c r="M4" s="40" t="s">
        <v>2</v>
      </c>
      <c r="N4" s="40">
        <v>14</v>
      </c>
      <c r="O4" s="40">
        <v>1067</v>
      </c>
      <c r="P4" s="40">
        <v>5</v>
      </c>
      <c r="T4" s="40">
        <v>5</v>
      </c>
      <c r="U4" s="40">
        <v>6</v>
      </c>
      <c r="V4" s="40">
        <v>6</v>
      </c>
      <c r="W4" s="40">
        <v>6</v>
      </c>
      <c r="X4" s="40">
        <v>6</v>
      </c>
      <c r="Y4" s="40">
        <v>6</v>
      </c>
      <c r="Z4" s="40">
        <v>6</v>
      </c>
      <c r="AA4" s="40">
        <v>6</v>
      </c>
      <c r="AB4" s="40">
        <v>6</v>
      </c>
      <c r="AC4" s="40">
        <v>6</v>
      </c>
      <c r="AD4" s="40">
        <v>6</v>
      </c>
      <c r="AE4" s="40">
        <v>7</v>
      </c>
      <c r="AF4" s="40">
        <v>7</v>
      </c>
      <c r="AG4" s="40">
        <v>7</v>
      </c>
      <c r="AH4" s="40">
        <v>7</v>
      </c>
      <c r="AI4" s="40">
        <v>7</v>
      </c>
      <c r="AJ4" s="40">
        <v>7</v>
      </c>
      <c r="AK4" s="40">
        <v>7</v>
      </c>
      <c r="AL4" s="40">
        <v>7</v>
      </c>
      <c r="AM4" s="40">
        <v>7</v>
      </c>
      <c r="AN4" s="40">
        <v>7</v>
      </c>
      <c r="AO4" s="40">
        <v>8</v>
      </c>
      <c r="AP4" s="40">
        <v>8</v>
      </c>
      <c r="AQ4" s="40">
        <v>8</v>
      </c>
      <c r="AR4" s="40">
        <v>8</v>
      </c>
      <c r="AS4" s="40">
        <v>8</v>
      </c>
      <c r="AT4" s="40">
        <v>8</v>
      </c>
      <c r="AU4" s="40">
        <v>8</v>
      </c>
      <c r="AV4" s="40">
        <v>8</v>
      </c>
      <c r="AW4" s="40">
        <v>8</v>
      </c>
      <c r="AX4" s="40">
        <v>8</v>
      </c>
      <c r="AY4" s="40">
        <v>9</v>
      </c>
      <c r="AZ4" s="40">
        <v>9</v>
      </c>
      <c r="BA4" s="40">
        <v>9</v>
      </c>
      <c r="BB4" s="40">
        <v>9</v>
      </c>
      <c r="BC4" s="40">
        <v>9</v>
      </c>
      <c r="BD4" s="40">
        <v>9</v>
      </c>
      <c r="BE4" s="40">
        <v>9</v>
      </c>
      <c r="BF4" s="40">
        <v>9</v>
      </c>
      <c r="BG4" s="40">
        <v>9</v>
      </c>
      <c r="BH4" s="40">
        <v>9</v>
      </c>
      <c r="BI4" s="40">
        <v>10</v>
      </c>
      <c r="BJ4" s="40">
        <v>10</v>
      </c>
      <c r="BK4" s="40">
        <v>10</v>
      </c>
      <c r="BL4" s="40">
        <v>10</v>
      </c>
      <c r="BM4" s="40">
        <v>10</v>
      </c>
      <c r="BN4" s="40">
        <v>10</v>
      </c>
      <c r="BO4" s="40">
        <v>10</v>
      </c>
      <c r="BP4" s="40">
        <v>10</v>
      </c>
      <c r="BQ4" s="40">
        <v>10</v>
      </c>
      <c r="BR4" s="40">
        <v>10</v>
      </c>
      <c r="BS4" s="40">
        <v>11</v>
      </c>
      <c r="BT4" s="40">
        <v>11</v>
      </c>
      <c r="BU4" s="40">
        <v>11</v>
      </c>
      <c r="BV4" s="40">
        <v>11</v>
      </c>
      <c r="BW4" s="40">
        <v>11</v>
      </c>
      <c r="BX4" s="40">
        <v>11</v>
      </c>
      <c r="BY4" s="40">
        <v>11</v>
      </c>
      <c r="BZ4" s="40">
        <v>11</v>
      </c>
      <c r="CA4" s="40">
        <v>11</v>
      </c>
      <c r="CB4" s="40">
        <v>11</v>
      </c>
      <c r="CC4" s="40">
        <v>12</v>
      </c>
      <c r="CD4" s="40">
        <v>12</v>
      </c>
      <c r="CE4" s="40">
        <v>12</v>
      </c>
      <c r="CF4" s="40">
        <v>12</v>
      </c>
      <c r="CG4" s="40">
        <v>12</v>
      </c>
      <c r="CH4" s="40">
        <v>12</v>
      </c>
      <c r="CI4" s="40">
        <v>12</v>
      </c>
      <c r="CJ4" s="40">
        <v>12</v>
      </c>
      <c r="CK4" s="40">
        <v>12</v>
      </c>
      <c r="CL4" s="40">
        <v>12</v>
      </c>
      <c r="CM4" s="40">
        <v>13</v>
      </c>
      <c r="CN4" s="40">
        <v>13</v>
      </c>
      <c r="CO4" s="40">
        <v>13</v>
      </c>
      <c r="CP4" s="40">
        <v>13</v>
      </c>
      <c r="CQ4" s="40">
        <v>13</v>
      </c>
      <c r="CR4" s="40">
        <v>13</v>
      </c>
      <c r="CS4" s="40">
        <v>13</v>
      </c>
      <c r="CT4" s="40">
        <v>13</v>
      </c>
      <c r="CU4" s="40">
        <v>13</v>
      </c>
      <c r="CV4" s="40">
        <v>13</v>
      </c>
      <c r="CW4" s="40">
        <v>14</v>
      </c>
      <c r="CX4" s="40">
        <v>14</v>
      </c>
      <c r="CY4" s="40">
        <v>14</v>
      </c>
      <c r="CZ4" s="40">
        <v>14</v>
      </c>
      <c r="DA4" s="40">
        <v>14</v>
      </c>
      <c r="DB4" s="40">
        <v>14</v>
      </c>
      <c r="DC4" s="40">
        <v>14</v>
      </c>
      <c r="DD4" s="40">
        <v>14</v>
      </c>
      <c r="DE4" s="40">
        <v>14</v>
      </c>
      <c r="DF4" s="40">
        <v>14</v>
      </c>
      <c r="DG4" s="40">
        <v>15</v>
      </c>
      <c r="DH4" s="40">
        <v>15</v>
      </c>
      <c r="DI4" s="40">
        <v>15</v>
      </c>
      <c r="DJ4" s="40">
        <v>15</v>
      </c>
      <c r="DK4" s="40">
        <v>15</v>
      </c>
      <c r="DL4" s="40">
        <v>15</v>
      </c>
      <c r="DM4" s="40">
        <v>15</v>
      </c>
      <c r="DN4" s="40">
        <v>15</v>
      </c>
      <c r="DO4" s="40">
        <v>15</v>
      </c>
    </row>
    <row r="5" spans="1:119" x14ac:dyDescent="0.25">
      <c r="A5" s="40" t="s">
        <v>4</v>
      </c>
      <c r="B5" s="40" t="s">
        <v>3</v>
      </c>
      <c r="C5" s="40" t="s">
        <v>5</v>
      </c>
      <c r="D5" s="40" t="s">
        <v>4</v>
      </c>
      <c r="E5" s="2">
        <v>10</v>
      </c>
      <c r="F5" s="40">
        <v>8</v>
      </c>
      <c r="G5" s="2">
        <v>1</v>
      </c>
      <c r="H5" s="40">
        <v>2</v>
      </c>
      <c r="I5" s="40">
        <v>3</v>
      </c>
      <c r="J5" s="2" t="s">
        <v>21</v>
      </c>
      <c r="K5" s="40" t="s">
        <v>257</v>
      </c>
      <c r="L5" s="40" t="s">
        <v>346</v>
      </c>
      <c r="M5" s="40" t="s">
        <v>3</v>
      </c>
      <c r="N5" s="40">
        <v>14</v>
      </c>
      <c r="O5" s="40">
        <v>1067</v>
      </c>
      <c r="P5" s="40">
        <v>5</v>
      </c>
      <c r="T5" s="40">
        <v>5</v>
      </c>
      <c r="U5" s="40">
        <v>6</v>
      </c>
      <c r="V5" s="40">
        <v>6</v>
      </c>
      <c r="W5" s="40">
        <v>6</v>
      </c>
      <c r="X5" s="40">
        <v>6</v>
      </c>
      <c r="Y5" s="40">
        <v>6</v>
      </c>
      <c r="Z5" s="40">
        <v>6</v>
      </c>
      <c r="AA5" s="40">
        <v>6</v>
      </c>
      <c r="AB5" s="40">
        <v>6</v>
      </c>
      <c r="AC5" s="40">
        <v>6</v>
      </c>
      <c r="AD5" s="40">
        <v>6</v>
      </c>
      <c r="AE5" s="40">
        <v>7</v>
      </c>
      <c r="AF5" s="40">
        <v>7</v>
      </c>
      <c r="AG5" s="40">
        <v>7</v>
      </c>
      <c r="AH5" s="40">
        <v>7</v>
      </c>
      <c r="AI5" s="40">
        <v>7</v>
      </c>
      <c r="AJ5" s="40">
        <v>7</v>
      </c>
      <c r="AK5" s="40">
        <v>7</v>
      </c>
      <c r="AL5" s="40">
        <v>7</v>
      </c>
      <c r="AM5" s="40">
        <v>7</v>
      </c>
      <c r="AN5" s="40">
        <v>7</v>
      </c>
      <c r="AO5" s="40">
        <v>8</v>
      </c>
      <c r="AP5" s="40">
        <v>8</v>
      </c>
      <c r="AQ5" s="40">
        <v>8</v>
      </c>
      <c r="AR5" s="40">
        <v>8</v>
      </c>
      <c r="AS5" s="40">
        <v>8</v>
      </c>
      <c r="AT5" s="40">
        <v>8</v>
      </c>
      <c r="AU5" s="40">
        <v>8</v>
      </c>
      <c r="AV5" s="40">
        <v>8</v>
      </c>
      <c r="AW5" s="40">
        <v>8</v>
      </c>
      <c r="AX5" s="40">
        <v>8</v>
      </c>
      <c r="AY5" s="40">
        <v>9</v>
      </c>
      <c r="AZ5" s="40">
        <v>9</v>
      </c>
      <c r="BA5" s="40">
        <v>9</v>
      </c>
      <c r="BB5" s="40">
        <v>9</v>
      </c>
      <c r="BC5" s="40">
        <v>9</v>
      </c>
      <c r="BD5" s="40">
        <v>9</v>
      </c>
      <c r="BE5" s="40">
        <v>9</v>
      </c>
      <c r="BF5" s="40">
        <v>9</v>
      </c>
      <c r="BG5" s="40">
        <v>9</v>
      </c>
      <c r="BH5" s="40">
        <v>9</v>
      </c>
      <c r="BI5" s="40">
        <v>10</v>
      </c>
      <c r="BJ5" s="40">
        <v>10</v>
      </c>
      <c r="BK5" s="40">
        <v>10</v>
      </c>
      <c r="BL5" s="40">
        <v>10</v>
      </c>
      <c r="BM5" s="40">
        <v>10</v>
      </c>
      <c r="BN5" s="40">
        <v>10</v>
      </c>
      <c r="BO5" s="40">
        <v>10</v>
      </c>
      <c r="BP5" s="40">
        <v>10</v>
      </c>
      <c r="BQ5" s="40">
        <v>10</v>
      </c>
      <c r="BR5" s="40">
        <v>10</v>
      </c>
      <c r="BS5" s="40">
        <v>11</v>
      </c>
      <c r="BT5" s="40">
        <v>11</v>
      </c>
      <c r="BU5" s="40">
        <v>11</v>
      </c>
      <c r="BV5" s="40">
        <v>11</v>
      </c>
      <c r="BW5" s="40">
        <v>11</v>
      </c>
      <c r="BX5" s="40">
        <v>11</v>
      </c>
      <c r="BY5" s="40">
        <v>11</v>
      </c>
      <c r="BZ5" s="40">
        <v>11</v>
      </c>
      <c r="CA5" s="40">
        <v>11</v>
      </c>
      <c r="CB5" s="40">
        <v>11</v>
      </c>
      <c r="CC5" s="40">
        <v>12</v>
      </c>
      <c r="CD5" s="40">
        <v>12</v>
      </c>
      <c r="CE5" s="40">
        <v>12</v>
      </c>
      <c r="CF5" s="40">
        <v>12</v>
      </c>
      <c r="CG5" s="40">
        <v>12</v>
      </c>
      <c r="CH5" s="40">
        <v>12</v>
      </c>
      <c r="CI5" s="40">
        <v>12</v>
      </c>
      <c r="CJ5" s="40">
        <v>12</v>
      </c>
      <c r="CK5" s="40">
        <v>12</v>
      </c>
      <c r="CL5" s="40">
        <v>12</v>
      </c>
      <c r="CM5" s="40">
        <v>13</v>
      </c>
      <c r="CN5" s="40">
        <v>13</v>
      </c>
      <c r="CO5" s="40">
        <v>13</v>
      </c>
      <c r="CP5" s="40">
        <v>13</v>
      </c>
      <c r="CQ5" s="40">
        <v>13</v>
      </c>
      <c r="CR5" s="40">
        <v>13</v>
      </c>
      <c r="CS5" s="40">
        <v>13</v>
      </c>
      <c r="CT5" s="40">
        <v>13</v>
      </c>
      <c r="CU5" s="40">
        <v>13</v>
      </c>
      <c r="CV5" s="40">
        <v>13</v>
      </c>
      <c r="CW5" s="40">
        <v>14</v>
      </c>
      <c r="CX5" s="40">
        <v>14</v>
      </c>
      <c r="CY5" s="40">
        <v>14</v>
      </c>
      <c r="CZ5" s="40">
        <v>14</v>
      </c>
      <c r="DA5" s="40">
        <v>14</v>
      </c>
      <c r="DB5" s="40">
        <v>14</v>
      </c>
      <c r="DC5" s="40">
        <v>14</v>
      </c>
      <c r="DD5" s="40">
        <v>14</v>
      </c>
      <c r="DE5" s="40">
        <v>14</v>
      </c>
      <c r="DF5" s="40">
        <v>14</v>
      </c>
      <c r="DG5" s="40">
        <v>15</v>
      </c>
      <c r="DH5" s="40">
        <v>15</v>
      </c>
      <c r="DI5" s="40">
        <v>15</v>
      </c>
      <c r="DJ5" s="40">
        <v>15</v>
      </c>
      <c r="DK5" s="40">
        <v>15</v>
      </c>
      <c r="DL5" s="40">
        <v>15</v>
      </c>
      <c r="DM5" s="40">
        <v>15</v>
      </c>
      <c r="DN5" s="40">
        <v>15</v>
      </c>
      <c r="DO5" s="40">
        <v>15</v>
      </c>
    </row>
    <row r="6" spans="1:119" x14ac:dyDescent="0.25">
      <c r="A6" s="40" t="s">
        <v>13</v>
      </c>
      <c r="B6" s="40" t="s">
        <v>5</v>
      </c>
      <c r="C6" s="40" t="s">
        <v>3</v>
      </c>
      <c r="D6" s="40" t="s">
        <v>13</v>
      </c>
      <c r="E6" s="2">
        <v>2</v>
      </c>
      <c r="F6" s="40">
        <v>7</v>
      </c>
      <c r="G6" s="2">
        <v>1</v>
      </c>
      <c r="H6" s="40">
        <v>2</v>
      </c>
      <c r="I6" s="40">
        <v>3</v>
      </c>
      <c r="J6" s="2" t="s">
        <v>21</v>
      </c>
      <c r="K6" s="40" t="s">
        <v>257</v>
      </c>
      <c r="L6" s="40" t="s">
        <v>346</v>
      </c>
      <c r="M6" s="40" t="s">
        <v>5</v>
      </c>
      <c r="N6" s="40">
        <v>16</v>
      </c>
      <c r="O6" s="40">
        <v>1067</v>
      </c>
      <c r="P6" s="40">
        <v>6</v>
      </c>
      <c r="T6" s="40">
        <v>6</v>
      </c>
      <c r="U6" s="40">
        <v>6</v>
      </c>
      <c r="V6" s="40">
        <v>6</v>
      </c>
      <c r="W6" s="40">
        <v>7</v>
      </c>
      <c r="X6" s="40">
        <v>7</v>
      </c>
      <c r="Y6" s="40">
        <v>7</v>
      </c>
      <c r="Z6" s="40">
        <v>7</v>
      </c>
      <c r="AA6" s="40">
        <v>7</v>
      </c>
      <c r="AB6" s="40">
        <v>7</v>
      </c>
      <c r="AC6" s="40">
        <v>7</v>
      </c>
      <c r="AD6" s="40">
        <v>7</v>
      </c>
      <c r="AE6" s="40">
        <v>7</v>
      </c>
      <c r="AF6" s="40">
        <v>8</v>
      </c>
      <c r="AG6" s="40">
        <v>8</v>
      </c>
      <c r="AH6" s="40">
        <v>8</v>
      </c>
      <c r="AI6" s="40">
        <v>8</v>
      </c>
      <c r="AJ6" s="40">
        <v>8</v>
      </c>
      <c r="AK6" s="40">
        <v>8</v>
      </c>
      <c r="AL6" s="40">
        <v>8</v>
      </c>
      <c r="AM6" s="40">
        <v>8</v>
      </c>
      <c r="AN6" s="40">
        <v>8</v>
      </c>
      <c r="AO6" s="40">
        <v>9</v>
      </c>
      <c r="AP6" s="40">
        <v>9</v>
      </c>
      <c r="AQ6" s="40">
        <v>9</v>
      </c>
      <c r="AR6" s="40">
        <v>9</v>
      </c>
      <c r="AS6" s="40">
        <v>9</v>
      </c>
      <c r="AT6" s="40">
        <v>9</v>
      </c>
      <c r="AU6" s="40">
        <v>9</v>
      </c>
      <c r="AV6" s="40">
        <v>9</v>
      </c>
      <c r="AW6" s="40">
        <v>9</v>
      </c>
      <c r="AX6" s="40">
        <v>10</v>
      </c>
      <c r="AY6" s="40">
        <v>10</v>
      </c>
      <c r="AZ6" s="40">
        <v>10</v>
      </c>
      <c r="BA6" s="40">
        <v>10</v>
      </c>
      <c r="BB6" s="40">
        <v>10</v>
      </c>
      <c r="BC6" s="40">
        <v>10</v>
      </c>
      <c r="BD6" s="40">
        <v>10</v>
      </c>
      <c r="BE6" s="40">
        <v>10</v>
      </c>
      <c r="BF6" s="40">
        <v>11</v>
      </c>
      <c r="BG6" s="40">
        <v>11</v>
      </c>
      <c r="BH6" s="40">
        <v>11</v>
      </c>
      <c r="BI6" s="40">
        <v>11</v>
      </c>
      <c r="BJ6" s="40">
        <v>11</v>
      </c>
      <c r="BK6" s="40">
        <v>11</v>
      </c>
      <c r="BL6" s="40">
        <v>11</v>
      </c>
      <c r="BM6" s="40">
        <v>11</v>
      </c>
      <c r="BN6" s="40">
        <v>11</v>
      </c>
      <c r="BO6" s="40">
        <v>12</v>
      </c>
      <c r="BP6" s="40">
        <v>12</v>
      </c>
      <c r="BQ6" s="40">
        <v>12</v>
      </c>
      <c r="BR6" s="40">
        <v>12</v>
      </c>
      <c r="BS6" s="40">
        <v>12</v>
      </c>
      <c r="BT6" s="40">
        <v>12</v>
      </c>
      <c r="BU6" s="40">
        <v>12</v>
      </c>
      <c r="BV6" s="40">
        <v>12</v>
      </c>
      <c r="BW6" s="40">
        <v>12</v>
      </c>
      <c r="BX6" s="40">
        <v>13</v>
      </c>
      <c r="BY6" s="40">
        <v>13</v>
      </c>
      <c r="BZ6" s="40">
        <v>13</v>
      </c>
      <c r="CA6" s="40">
        <v>13</v>
      </c>
      <c r="CB6" s="40">
        <v>13</v>
      </c>
      <c r="CC6" s="40">
        <v>13</v>
      </c>
      <c r="CD6" s="40">
        <v>13</v>
      </c>
      <c r="CE6" s="40">
        <v>13</v>
      </c>
      <c r="CF6" s="40">
        <v>13</v>
      </c>
      <c r="CG6" s="40">
        <v>14</v>
      </c>
      <c r="CH6" s="40">
        <v>14</v>
      </c>
      <c r="CI6" s="40">
        <v>14</v>
      </c>
      <c r="CJ6" s="40">
        <v>14</v>
      </c>
      <c r="CK6" s="40">
        <v>14</v>
      </c>
      <c r="CL6" s="40">
        <v>14</v>
      </c>
      <c r="CM6" s="40">
        <v>14</v>
      </c>
      <c r="CN6" s="40">
        <v>14</v>
      </c>
      <c r="CO6" s="40">
        <v>14</v>
      </c>
      <c r="CP6" s="40">
        <v>15</v>
      </c>
      <c r="CQ6" s="40">
        <v>15</v>
      </c>
      <c r="CR6" s="40">
        <v>15</v>
      </c>
      <c r="CS6" s="40">
        <v>15</v>
      </c>
      <c r="CT6" s="40">
        <v>15</v>
      </c>
      <c r="CU6" s="40">
        <v>15</v>
      </c>
      <c r="CV6" s="40">
        <v>15</v>
      </c>
      <c r="CW6" s="40">
        <v>15</v>
      </c>
      <c r="CX6" s="40">
        <v>16</v>
      </c>
      <c r="CY6" s="40">
        <v>16</v>
      </c>
      <c r="CZ6" s="40">
        <v>16</v>
      </c>
      <c r="DA6" s="40">
        <v>16</v>
      </c>
      <c r="DB6" s="40">
        <v>16</v>
      </c>
      <c r="DC6" s="40">
        <v>16</v>
      </c>
      <c r="DD6" s="40">
        <v>16</v>
      </c>
      <c r="DE6" s="40">
        <v>16</v>
      </c>
      <c r="DF6" s="40">
        <v>16</v>
      </c>
      <c r="DG6" s="40">
        <v>17</v>
      </c>
      <c r="DH6" s="40">
        <v>17</v>
      </c>
      <c r="DI6" s="40">
        <v>17</v>
      </c>
      <c r="DJ6" s="40">
        <v>17</v>
      </c>
      <c r="DK6" s="40">
        <v>17</v>
      </c>
      <c r="DL6" s="40">
        <v>17</v>
      </c>
      <c r="DM6" s="40">
        <v>17</v>
      </c>
      <c r="DN6" s="40">
        <v>17</v>
      </c>
      <c r="DO6" s="40">
        <v>17</v>
      </c>
    </row>
    <row r="7" spans="1:119" x14ac:dyDescent="0.25">
      <c r="A7" s="40" t="s">
        <v>14</v>
      </c>
      <c r="B7" s="40" t="s">
        <v>4</v>
      </c>
      <c r="C7" s="40" t="s">
        <v>2</v>
      </c>
      <c r="D7" s="40" t="s">
        <v>14</v>
      </c>
      <c r="E7" s="2">
        <v>5</v>
      </c>
      <c r="F7" s="40">
        <v>6</v>
      </c>
      <c r="G7" s="2">
        <v>1</v>
      </c>
      <c r="H7" s="40">
        <v>2</v>
      </c>
      <c r="I7" s="40">
        <v>3</v>
      </c>
      <c r="J7" s="2" t="s">
        <v>21</v>
      </c>
      <c r="K7" s="40" t="s">
        <v>257</v>
      </c>
      <c r="L7" s="40" t="s">
        <v>346</v>
      </c>
      <c r="M7" s="40" t="s">
        <v>4</v>
      </c>
      <c r="N7" s="40">
        <v>16</v>
      </c>
      <c r="O7" s="40">
        <v>1067</v>
      </c>
      <c r="P7" s="40">
        <v>6</v>
      </c>
      <c r="T7" s="40">
        <v>6</v>
      </c>
      <c r="U7" s="40">
        <v>6</v>
      </c>
      <c r="V7" s="40">
        <v>6</v>
      </c>
      <c r="W7" s="40">
        <v>7</v>
      </c>
      <c r="X7" s="40">
        <v>7</v>
      </c>
      <c r="Y7" s="40">
        <v>7</v>
      </c>
      <c r="Z7" s="40">
        <v>7</v>
      </c>
      <c r="AA7" s="40">
        <v>7</v>
      </c>
      <c r="AB7" s="40">
        <v>7</v>
      </c>
      <c r="AC7" s="40">
        <v>7</v>
      </c>
      <c r="AD7" s="40">
        <v>7</v>
      </c>
      <c r="AE7" s="40">
        <v>7</v>
      </c>
      <c r="AF7" s="40">
        <v>8</v>
      </c>
      <c r="AG7" s="40">
        <v>8</v>
      </c>
      <c r="AH7" s="40">
        <v>8</v>
      </c>
      <c r="AI7" s="40">
        <v>8</v>
      </c>
      <c r="AJ7" s="40">
        <v>8</v>
      </c>
      <c r="AK7" s="40">
        <v>8</v>
      </c>
      <c r="AL7" s="40">
        <v>8</v>
      </c>
      <c r="AM7" s="40">
        <v>8</v>
      </c>
      <c r="AN7" s="40">
        <v>8</v>
      </c>
      <c r="AO7" s="40">
        <v>9</v>
      </c>
      <c r="AP7" s="40">
        <v>9</v>
      </c>
      <c r="AQ7" s="40">
        <v>9</v>
      </c>
      <c r="AR7" s="40">
        <v>9</v>
      </c>
      <c r="AS7" s="40">
        <v>9</v>
      </c>
      <c r="AT7" s="40">
        <v>9</v>
      </c>
      <c r="AU7" s="40">
        <v>9</v>
      </c>
      <c r="AV7" s="40">
        <v>9</v>
      </c>
      <c r="AW7" s="40">
        <v>9</v>
      </c>
      <c r="AX7" s="40">
        <v>10</v>
      </c>
      <c r="AY7" s="40">
        <v>10</v>
      </c>
      <c r="AZ7" s="40">
        <v>10</v>
      </c>
      <c r="BA7" s="40">
        <v>10</v>
      </c>
      <c r="BB7" s="40">
        <v>10</v>
      </c>
      <c r="BC7" s="40">
        <v>10</v>
      </c>
      <c r="BD7" s="40">
        <v>10</v>
      </c>
      <c r="BE7" s="40">
        <v>10</v>
      </c>
      <c r="BF7" s="40">
        <v>11</v>
      </c>
      <c r="BG7" s="40">
        <v>11</v>
      </c>
      <c r="BH7" s="40">
        <v>11</v>
      </c>
      <c r="BI7" s="40">
        <v>11</v>
      </c>
      <c r="BJ7" s="40">
        <v>11</v>
      </c>
      <c r="BK7" s="40">
        <v>11</v>
      </c>
      <c r="BL7" s="40">
        <v>11</v>
      </c>
      <c r="BM7" s="40">
        <v>11</v>
      </c>
      <c r="BN7" s="40">
        <v>11</v>
      </c>
      <c r="BO7" s="40">
        <v>12</v>
      </c>
      <c r="BP7" s="40">
        <v>12</v>
      </c>
      <c r="BQ7" s="40">
        <v>12</v>
      </c>
      <c r="BR7" s="40">
        <v>12</v>
      </c>
      <c r="BS7" s="40">
        <v>12</v>
      </c>
      <c r="BT7" s="40">
        <v>12</v>
      </c>
      <c r="BU7" s="40">
        <v>12</v>
      </c>
      <c r="BV7" s="40">
        <v>12</v>
      </c>
      <c r="BW7" s="40">
        <v>12</v>
      </c>
      <c r="BX7" s="40">
        <v>13</v>
      </c>
      <c r="BY7" s="40">
        <v>13</v>
      </c>
      <c r="BZ7" s="40">
        <v>13</v>
      </c>
      <c r="CA7" s="40">
        <v>13</v>
      </c>
      <c r="CB7" s="40">
        <v>13</v>
      </c>
      <c r="CC7" s="40">
        <v>13</v>
      </c>
      <c r="CD7" s="40">
        <v>13</v>
      </c>
      <c r="CE7" s="40">
        <v>13</v>
      </c>
      <c r="CF7" s="40">
        <v>13</v>
      </c>
      <c r="CG7" s="40">
        <v>14</v>
      </c>
      <c r="CH7" s="40">
        <v>14</v>
      </c>
      <c r="CI7" s="40">
        <v>14</v>
      </c>
      <c r="CJ7" s="40">
        <v>14</v>
      </c>
      <c r="CK7" s="40">
        <v>14</v>
      </c>
      <c r="CL7" s="40">
        <v>14</v>
      </c>
      <c r="CM7" s="40">
        <v>14</v>
      </c>
      <c r="CN7" s="40">
        <v>14</v>
      </c>
      <c r="CO7" s="40">
        <v>14</v>
      </c>
      <c r="CP7" s="40">
        <v>15</v>
      </c>
      <c r="CQ7" s="40">
        <v>15</v>
      </c>
      <c r="CR7" s="40">
        <v>15</v>
      </c>
      <c r="CS7" s="40">
        <v>15</v>
      </c>
      <c r="CT7" s="40">
        <v>15</v>
      </c>
      <c r="CU7" s="40">
        <v>15</v>
      </c>
      <c r="CV7" s="40">
        <v>15</v>
      </c>
      <c r="CW7" s="40">
        <v>15</v>
      </c>
      <c r="CX7" s="40">
        <v>16</v>
      </c>
      <c r="CY7" s="40">
        <v>16</v>
      </c>
      <c r="CZ7" s="40">
        <v>16</v>
      </c>
      <c r="DA7" s="40">
        <v>16</v>
      </c>
      <c r="DB7" s="40">
        <v>16</v>
      </c>
      <c r="DC7" s="40">
        <v>16</v>
      </c>
      <c r="DD7" s="40">
        <v>16</v>
      </c>
      <c r="DE7" s="40">
        <v>16</v>
      </c>
      <c r="DF7" s="40">
        <v>16</v>
      </c>
      <c r="DG7" s="40">
        <v>17</v>
      </c>
      <c r="DH7" s="40">
        <v>17</v>
      </c>
      <c r="DI7" s="40">
        <v>17</v>
      </c>
      <c r="DJ7" s="40">
        <v>17</v>
      </c>
      <c r="DK7" s="40">
        <v>17</v>
      </c>
      <c r="DL7" s="40">
        <v>17</v>
      </c>
      <c r="DM7" s="40">
        <v>17</v>
      </c>
      <c r="DN7" s="40">
        <v>17</v>
      </c>
      <c r="DO7" s="40">
        <v>17</v>
      </c>
    </row>
    <row r="8" spans="1:119" x14ac:dyDescent="0.25">
      <c r="B8" s="40" t="s">
        <v>13</v>
      </c>
      <c r="C8" s="40"/>
      <c r="D8" s="40"/>
      <c r="E8" s="2"/>
      <c r="F8" s="40">
        <v>10</v>
      </c>
      <c r="G8" s="2"/>
      <c r="H8" s="40">
        <v>2</v>
      </c>
      <c r="I8" s="40">
        <v>3</v>
      </c>
      <c r="J8" s="2"/>
      <c r="K8" s="40" t="s">
        <v>257</v>
      </c>
      <c r="L8" s="40" t="s">
        <v>346</v>
      </c>
      <c r="M8" s="40" t="s">
        <v>13</v>
      </c>
      <c r="N8" s="40">
        <v>12</v>
      </c>
      <c r="O8" s="40">
        <v>1067</v>
      </c>
      <c r="P8" s="40">
        <v>5</v>
      </c>
      <c r="T8" s="40">
        <v>5</v>
      </c>
      <c r="U8" s="40">
        <v>5</v>
      </c>
      <c r="V8" s="40">
        <v>5</v>
      </c>
      <c r="W8" s="40">
        <v>5</v>
      </c>
      <c r="X8" s="40">
        <v>5</v>
      </c>
      <c r="Y8" s="40">
        <v>5</v>
      </c>
      <c r="Z8" s="40">
        <v>5</v>
      </c>
      <c r="AA8" s="40">
        <v>5</v>
      </c>
      <c r="AB8" s="40">
        <v>5</v>
      </c>
      <c r="AC8" s="40">
        <v>6</v>
      </c>
      <c r="AD8" s="40">
        <v>6</v>
      </c>
      <c r="AE8" s="40">
        <v>6</v>
      </c>
      <c r="AF8" s="40">
        <v>6</v>
      </c>
      <c r="AG8" s="40">
        <v>6</v>
      </c>
      <c r="AH8" s="40">
        <v>6</v>
      </c>
      <c r="AI8" s="40">
        <v>6</v>
      </c>
      <c r="AJ8" s="40">
        <v>6</v>
      </c>
      <c r="AK8" s="40">
        <v>6</v>
      </c>
      <c r="AL8" s="40">
        <v>6</v>
      </c>
      <c r="AM8" s="40">
        <v>6</v>
      </c>
      <c r="AN8" s="40">
        <v>6</v>
      </c>
      <c r="AO8" s="40">
        <v>7</v>
      </c>
      <c r="AP8" s="40">
        <v>7</v>
      </c>
      <c r="AQ8" s="40">
        <v>7</v>
      </c>
      <c r="AR8" s="40">
        <v>7</v>
      </c>
      <c r="AS8" s="40">
        <v>7</v>
      </c>
      <c r="AT8" s="40">
        <v>7</v>
      </c>
      <c r="AU8" s="40">
        <v>7</v>
      </c>
      <c r="AV8" s="40">
        <v>7</v>
      </c>
      <c r="AW8" s="40">
        <v>7</v>
      </c>
      <c r="AX8" s="40">
        <v>7</v>
      </c>
      <c r="AY8" s="40">
        <v>7</v>
      </c>
      <c r="AZ8" s="40">
        <v>7</v>
      </c>
      <c r="BA8" s="40">
        <v>8</v>
      </c>
      <c r="BB8" s="40">
        <v>8</v>
      </c>
      <c r="BC8" s="40">
        <v>8</v>
      </c>
      <c r="BD8" s="40">
        <v>8</v>
      </c>
      <c r="BE8" s="40">
        <v>8</v>
      </c>
      <c r="BF8" s="40">
        <v>8</v>
      </c>
      <c r="BG8" s="40">
        <v>8</v>
      </c>
      <c r="BH8" s="40">
        <v>8</v>
      </c>
      <c r="BI8" s="40">
        <v>8</v>
      </c>
      <c r="BJ8" s="40">
        <v>8</v>
      </c>
      <c r="BK8" s="40">
        <v>8</v>
      </c>
      <c r="BL8" s="40">
        <v>9</v>
      </c>
      <c r="BM8" s="40">
        <v>9</v>
      </c>
      <c r="BN8" s="40">
        <v>9</v>
      </c>
      <c r="BO8" s="40">
        <v>9</v>
      </c>
      <c r="BP8" s="40">
        <v>9</v>
      </c>
      <c r="BQ8" s="40">
        <v>9</v>
      </c>
      <c r="BR8" s="40">
        <v>9</v>
      </c>
      <c r="BS8" s="40">
        <v>9</v>
      </c>
      <c r="BT8" s="40">
        <v>9</v>
      </c>
      <c r="BU8" s="40">
        <v>9</v>
      </c>
      <c r="BV8" s="40">
        <v>9</v>
      </c>
      <c r="BW8" s="40">
        <v>9</v>
      </c>
      <c r="BX8" s="40">
        <v>10</v>
      </c>
      <c r="BY8" s="40">
        <v>10</v>
      </c>
      <c r="BZ8" s="40">
        <v>10</v>
      </c>
      <c r="CA8" s="40">
        <v>10</v>
      </c>
      <c r="CB8" s="40">
        <v>10</v>
      </c>
      <c r="CC8" s="40">
        <v>10</v>
      </c>
      <c r="CD8" s="40">
        <v>10</v>
      </c>
      <c r="CE8" s="40">
        <v>10</v>
      </c>
      <c r="CF8" s="40">
        <v>10</v>
      </c>
      <c r="CG8" s="40">
        <v>10</v>
      </c>
      <c r="CH8" s="40">
        <v>10</v>
      </c>
      <c r="CI8" s="40">
        <v>10</v>
      </c>
      <c r="CJ8" s="40">
        <v>11</v>
      </c>
      <c r="CK8" s="40">
        <v>11</v>
      </c>
      <c r="CL8" s="40">
        <v>11</v>
      </c>
      <c r="CM8" s="40">
        <v>11</v>
      </c>
      <c r="CN8" s="40">
        <v>11</v>
      </c>
      <c r="CO8" s="40">
        <v>11</v>
      </c>
      <c r="CP8" s="40">
        <v>11</v>
      </c>
      <c r="CQ8" s="40">
        <v>11</v>
      </c>
      <c r="CR8" s="40">
        <v>11</v>
      </c>
      <c r="CS8" s="40">
        <v>11</v>
      </c>
      <c r="CT8" s="40">
        <v>11</v>
      </c>
      <c r="CU8" s="40">
        <v>12</v>
      </c>
      <c r="CV8" s="40">
        <v>12</v>
      </c>
      <c r="CW8" s="40">
        <v>12</v>
      </c>
      <c r="CX8" s="40">
        <v>12</v>
      </c>
      <c r="CY8" s="40">
        <v>12</v>
      </c>
      <c r="CZ8" s="40">
        <v>12</v>
      </c>
      <c r="DA8" s="40">
        <v>12</v>
      </c>
      <c r="DB8" s="40">
        <v>12</v>
      </c>
      <c r="DC8" s="40">
        <v>12</v>
      </c>
      <c r="DD8" s="40">
        <v>12</v>
      </c>
      <c r="DE8" s="40">
        <v>12</v>
      </c>
      <c r="DF8" s="40">
        <v>12</v>
      </c>
      <c r="DG8" s="40">
        <v>13</v>
      </c>
      <c r="DH8" s="40">
        <v>13</v>
      </c>
      <c r="DI8" s="40">
        <v>13</v>
      </c>
      <c r="DJ8" s="40">
        <v>13</v>
      </c>
      <c r="DK8" s="40">
        <v>13</v>
      </c>
      <c r="DL8" s="40">
        <v>13</v>
      </c>
      <c r="DM8" s="40">
        <v>13</v>
      </c>
      <c r="DN8" s="40">
        <v>13</v>
      </c>
      <c r="DO8" s="40">
        <v>13</v>
      </c>
    </row>
    <row r="9" spans="1:119" x14ac:dyDescent="0.25">
      <c r="B9" s="40" t="s">
        <v>14</v>
      </c>
      <c r="C9" s="40"/>
      <c r="D9" s="40"/>
      <c r="E9" s="2"/>
      <c r="F9" s="40">
        <v>8</v>
      </c>
      <c r="G9" s="2"/>
      <c r="H9" s="40">
        <v>1</v>
      </c>
      <c r="I9" s="40">
        <v>2</v>
      </c>
      <c r="J9" s="2"/>
      <c r="K9" s="40" t="s">
        <v>22</v>
      </c>
      <c r="L9" s="40" t="s">
        <v>347</v>
      </c>
      <c r="M9" s="40" t="s">
        <v>14</v>
      </c>
      <c r="N9" s="40">
        <v>13</v>
      </c>
      <c r="O9" s="40">
        <v>692</v>
      </c>
      <c r="P9" s="40">
        <v>5</v>
      </c>
      <c r="T9" s="40">
        <v>5</v>
      </c>
      <c r="U9" s="40">
        <v>5</v>
      </c>
      <c r="V9" s="40">
        <v>5</v>
      </c>
      <c r="W9" s="40">
        <v>5</v>
      </c>
      <c r="X9" s="40">
        <v>5</v>
      </c>
      <c r="Y9" s="40">
        <v>5</v>
      </c>
      <c r="Z9" s="40">
        <v>6</v>
      </c>
      <c r="AA9" s="40">
        <v>6</v>
      </c>
      <c r="AB9" s="40">
        <v>6</v>
      </c>
      <c r="AC9" s="40">
        <v>6</v>
      </c>
      <c r="AD9" s="40">
        <v>6</v>
      </c>
      <c r="AE9" s="40">
        <v>6</v>
      </c>
      <c r="AF9" s="40">
        <v>6</v>
      </c>
      <c r="AG9" s="40">
        <v>6</v>
      </c>
      <c r="AH9" s="40">
        <v>6</v>
      </c>
      <c r="AI9" s="40">
        <v>6</v>
      </c>
      <c r="AJ9" s="40">
        <v>6</v>
      </c>
      <c r="AK9" s="40">
        <v>7</v>
      </c>
      <c r="AL9" s="40">
        <v>7</v>
      </c>
      <c r="AM9" s="40">
        <v>7</v>
      </c>
      <c r="AN9" s="40">
        <v>7</v>
      </c>
      <c r="AO9" s="40">
        <v>7</v>
      </c>
      <c r="AP9" s="40">
        <v>7</v>
      </c>
      <c r="AQ9" s="40">
        <v>7</v>
      </c>
      <c r="AR9" s="40">
        <v>7</v>
      </c>
      <c r="AS9" s="40">
        <v>7</v>
      </c>
      <c r="AT9" s="40">
        <v>7</v>
      </c>
      <c r="AU9" s="40">
        <v>7</v>
      </c>
      <c r="AV9" s="40">
        <v>8</v>
      </c>
      <c r="AW9" s="40">
        <v>8</v>
      </c>
      <c r="AX9" s="40">
        <v>8</v>
      </c>
      <c r="AY9" s="40">
        <v>8</v>
      </c>
      <c r="AZ9" s="40">
        <v>8</v>
      </c>
      <c r="BA9" s="40">
        <v>8</v>
      </c>
      <c r="BB9" s="40">
        <v>8</v>
      </c>
      <c r="BC9" s="40">
        <v>8</v>
      </c>
      <c r="BD9" s="40">
        <v>8</v>
      </c>
      <c r="BE9" s="40">
        <v>8</v>
      </c>
      <c r="BF9" s="40">
        <v>8</v>
      </c>
      <c r="BG9" s="40">
        <v>9</v>
      </c>
      <c r="BH9" s="40">
        <v>9</v>
      </c>
      <c r="BI9" s="40">
        <v>9</v>
      </c>
      <c r="BJ9" s="40">
        <v>9</v>
      </c>
      <c r="BK9" s="40">
        <v>9</v>
      </c>
      <c r="BL9" s="40">
        <v>9</v>
      </c>
      <c r="BM9" s="40">
        <v>9</v>
      </c>
      <c r="BN9" s="40">
        <v>9</v>
      </c>
      <c r="BO9" s="40">
        <v>9</v>
      </c>
      <c r="BP9" s="40">
        <v>9</v>
      </c>
      <c r="BQ9" s="40">
        <v>9</v>
      </c>
      <c r="BR9" s="40">
        <v>9</v>
      </c>
      <c r="BS9" s="40">
        <v>10</v>
      </c>
      <c r="BT9" s="40">
        <v>10</v>
      </c>
      <c r="BU9" s="40">
        <v>10</v>
      </c>
      <c r="BV9" s="40">
        <v>10</v>
      </c>
      <c r="BW9" s="40">
        <v>10</v>
      </c>
      <c r="BX9" s="40">
        <v>10</v>
      </c>
      <c r="BY9" s="40">
        <v>10</v>
      </c>
      <c r="BZ9" s="40">
        <v>10</v>
      </c>
      <c r="CA9" s="40">
        <v>10</v>
      </c>
      <c r="CB9" s="40">
        <v>10</v>
      </c>
      <c r="CC9" s="40">
        <v>10</v>
      </c>
      <c r="CD9" s="40">
        <v>11</v>
      </c>
      <c r="CE9" s="40">
        <v>11</v>
      </c>
      <c r="CF9" s="40">
        <v>11</v>
      </c>
      <c r="CG9" s="40">
        <v>11</v>
      </c>
      <c r="CH9" s="40">
        <v>11</v>
      </c>
      <c r="CI9" s="40">
        <v>11</v>
      </c>
      <c r="CJ9" s="40">
        <v>11</v>
      </c>
      <c r="CK9" s="40">
        <v>11</v>
      </c>
      <c r="CL9" s="40">
        <v>11</v>
      </c>
      <c r="CM9" s="40">
        <v>11</v>
      </c>
      <c r="CN9" s="40">
        <v>11</v>
      </c>
      <c r="CO9" s="40">
        <v>12</v>
      </c>
      <c r="CP9" s="40">
        <v>12</v>
      </c>
      <c r="CQ9" s="40">
        <v>12</v>
      </c>
      <c r="CR9" s="40">
        <v>12</v>
      </c>
      <c r="CS9" s="40">
        <v>12</v>
      </c>
      <c r="CT9" s="40">
        <v>12</v>
      </c>
      <c r="CU9" s="40">
        <v>12</v>
      </c>
      <c r="CV9" s="40">
        <v>12</v>
      </c>
      <c r="CW9" s="40">
        <v>12</v>
      </c>
      <c r="CX9" s="40">
        <v>12</v>
      </c>
      <c r="CY9" s="40">
        <v>12</v>
      </c>
      <c r="CZ9" s="40">
        <v>13</v>
      </c>
      <c r="DA9" s="40">
        <v>13</v>
      </c>
      <c r="DB9" s="40">
        <v>13</v>
      </c>
      <c r="DC9" s="40">
        <v>13</v>
      </c>
      <c r="DD9" s="40">
        <v>13</v>
      </c>
      <c r="DE9" s="40">
        <v>13</v>
      </c>
      <c r="DF9" s="40">
        <v>13</v>
      </c>
      <c r="DG9" s="40">
        <v>13</v>
      </c>
      <c r="DH9" s="40">
        <v>13</v>
      </c>
      <c r="DI9" s="40">
        <v>13</v>
      </c>
      <c r="DJ9" s="40">
        <v>13</v>
      </c>
      <c r="DK9" s="40">
        <v>14</v>
      </c>
      <c r="DL9" s="40">
        <v>14</v>
      </c>
      <c r="DM9" s="40">
        <v>14</v>
      </c>
      <c r="DN9" s="40">
        <v>14</v>
      </c>
      <c r="DO9" s="40">
        <v>14</v>
      </c>
    </row>
    <row r="10" spans="1:119" x14ac:dyDescent="0.25">
      <c r="C10" s="40"/>
      <c r="D10" s="40"/>
      <c r="E10" s="2"/>
      <c r="G10" s="2"/>
      <c r="H10" s="40">
        <v>0</v>
      </c>
      <c r="I10" s="40">
        <v>0</v>
      </c>
      <c r="J10" s="2"/>
      <c r="L10" s="40"/>
      <c r="M10" s="40"/>
      <c r="N10" s="40">
        <v>0</v>
      </c>
      <c r="O10" s="40">
        <v>0</v>
      </c>
    </row>
    <row r="11" spans="1:119" x14ac:dyDescent="0.25">
      <c r="C11" s="40"/>
      <c r="D11" s="40"/>
      <c r="E11" s="2"/>
      <c r="G11" s="2"/>
      <c r="H11" s="40">
        <v>0</v>
      </c>
      <c r="I11" s="40">
        <v>0</v>
      </c>
      <c r="J11" s="2"/>
      <c r="L11" s="40"/>
      <c r="M11" s="40"/>
      <c r="N11" s="40">
        <v>0</v>
      </c>
      <c r="O11" s="40">
        <v>0</v>
      </c>
    </row>
    <row r="12" spans="1:119" x14ac:dyDescent="0.25">
      <c r="C12" s="40"/>
      <c r="D12" s="52"/>
      <c r="E12" s="48"/>
      <c r="G12" s="2"/>
      <c r="H12" s="40">
        <v>0</v>
      </c>
      <c r="I12" s="40">
        <v>0</v>
      </c>
      <c r="J12" s="2"/>
      <c r="L12" s="40"/>
      <c r="M12" s="40"/>
      <c r="N12" s="40">
        <v>0</v>
      </c>
      <c r="O12" s="40">
        <v>0</v>
      </c>
    </row>
    <row r="13" spans="1:119" x14ac:dyDescent="0.25">
      <c r="C13" s="40"/>
      <c r="D13" s="52"/>
      <c r="E13" s="48"/>
      <c r="G13" s="2"/>
      <c r="H13" s="40">
        <v>0</v>
      </c>
      <c r="I13" s="40">
        <v>0</v>
      </c>
      <c r="J13" s="2"/>
      <c r="L13" s="40"/>
      <c r="M13" s="40"/>
      <c r="N13" s="40">
        <v>0</v>
      </c>
      <c r="O13" s="40">
        <v>0</v>
      </c>
    </row>
    <row r="14" spans="1:119" x14ac:dyDescent="0.25">
      <c r="C14" s="40"/>
      <c r="D14" s="52"/>
      <c r="E14" s="48"/>
      <c r="G14" s="2"/>
      <c r="H14" s="40">
        <v>0</v>
      </c>
      <c r="I14" s="40">
        <v>0</v>
      </c>
      <c r="J14" s="2"/>
      <c r="L14" s="40"/>
      <c r="M14" s="40"/>
      <c r="N14" s="40">
        <v>0</v>
      </c>
      <c r="O14" s="40">
        <v>0</v>
      </c>
    </row>
    <row r="15" spans="1:119" x14ac:dyDescent="0.25">
      <c r="C15" s="40"/>
      <c r="D15" s="52"/>
      <c r="E15" s="48"/>
      <c r="G15" s="2"/>
      <c r="H15" s="40">
        <v>0</v>
      </c>
      <c r="I15" s="40">
        <v>0</v>
      </c>
      <c r="J15" s="2"/>
      <c r="L15" s="40"/>
      <c r="M15" s="40"/>
      <c r="N15" s="40">
        <v>0</v>
      </c>
      <c r="O15" s="40">
        <v>0</v>
      </c>
    </row>
    <row r="16" spans="1:119" x14ac:dyDescent="0.25">
      <c r="C16" s="40"/>
      <c r="D16" s="52"/>
      <c r="E16" s="48"/>
      <c r="G16" s="2"/>
      <c r="H16" s="40">
        <v>0</v>
      </c>
      <c r="I16" s="40">
        <v>0</v>
      </c>
      <c r="J16" s="2"/>
      <c r="L16" s="40"/>
      <c r="M16" s="40"/>
      <c r="N16" s="40">
        <v>0</v>
      </c>
      <c r="O16" s="40">
        <v>0</v>
      </c>
    </row>
    <row r="17" spans="3:17" x14ac:dyDescent="0.25">
      <c r="C17" s="40"/>
      <c r="D17" s="52"/>
      <c r="E17" s="48"/>
      <c r="G17" s="2"/>
      <c r="H17" s="40">
        <v>0</v>
      </c>
      <c r="I17" s="40">
        <v>0</v>
      </c>
      <c r="J17" s="2"/>
      <c r="L17" s="40"/>
      <c r="M17" s="40"/>
      <c r="N17" s="40">
        <v>0</v>
      </c>
      <c r="O17" s="40">
        <v>0</v>
      </c>
    </row>
    <row r="18" spans="3:17" x14ac:dyDescent="0.25">
      <c r="C18" s="40"/>
      <c r="D18" s="52"/>
      <c r="E18" s="48"/>
      <c r="G18" s="2"/>
      <c r="H18" s="40">
        <v>0</v>
      </c>
      <c r="I18" s="40">
        <v>0</v>
      </c>
      <c r="J18" s="2"/>
      <c r="L18" s="40"/>
      <c r="M18" s="40"/>
      <c r="N18" s="40">
        <v>0</v>
      </c>
      <c r="O18" s="40">
        <v>0</v>
      </c>
    </row>
    <row r="19" spans="3:17" x14ac:dyDescent="0.25">
      <c r="C19" s="40"/>
      <c r="D19" s="83"/>
      <c r="E19" s="48"/>
      <c r="G19" s="2"/>
      <c r="H19" s="40">
        <v>0</v>
      </c>
      <c r="I19" s="40">
        <v>0</v>
      </c>
      <c r="J19" s="2"/>
      <c r="L19" s="40"/>
      <c r="M19" s="40"/>
      <c r="N19" s="40">
        <v>0</v>
      </c>
      <c r="O19" s="40">
        <v>0</v>
      </c>
    </row>
    <row r="20" spans="3:17" x14ac:dyDescent="0.25">
      <c r="C20" s="40"/>
      <c r="D20" s="83"/>
      <c r="E20" s="48"/>
      <c r="G20" s="2"/>
      <c r="H20" s="40">
        <v>0</v>
      </c>
      <c r="I20" s="40">
        <v>0</v>
      </c>
      <c r="J20" s="2"/>
      <c r="L20" s="40"/>
      <c r="M20" s="40"/>
      <c r="N20" s="40">
        <v>0</v>
      </c>
      <c r="O20" s="40">
        <v>0</v>
      </c>
    </row>
    <row r="21" spans="3:17" x14ac:dyDescent="0.25">
      <c r="C21" s="40"/>
      <c r="D21" s="83"/>
      <c r="E21" s="83"/>
      <c r="H21" s="40">
        <v>0</v>
      </c>
      <c r="I21" s="40">
        <v>0</v>
      </c>
      <c r="L21" s="40"/>
      <c r="M21" s="40"/>
      <c r="N21" s="40">
        <v>0</v>
      </c>
      <c r="O21" s="40">
        <v>0</v>
      </c>
      <c r="Q21" s="40"/>
    </row>
    <row r="22" spans="3:17" x14ac:dyDescent="0.25">
      <c r="C22" s="40"/>
      <c r="D22" s="40"/>
      <c r="E22" s="2"/>
      <c r="G22" s="2"/>
      <c r="H22" s="40">
        <v>0</v>
      </c>
      <c r="I22" s="40">
        <v>0</v>
      </c>
      <c r="J22" s="2"/>
      <c r="L22" s="40"/>
      <c r="M22" s="40"/>
      <c r="N22" s="40">
        <v>0</v>
      </c>
      <c r="O22" s="40">
        <v>0</v>
      </c>
    </row>
    <row r="23" spans="3:17" x14ac:dyDescent="0.25">
      <c r="C23" s="40"/>
      <c r="D23" s="40"/>
      <c r="E23" s="2"/>
      <c r="G23" s="2"/>
      <c r="H23" s="40">
        <v>0</v>
      </c>
      <c r="I23" s="40">
        <v>0</v>
      </c>
      <c r="J23" s="2"/>
      <c r="L23" s="40"/>
      <c r="M23" s="40"/>
      <c r="N23" s="40">
        <v>0</v>
      </c>
      <c r="O23" s="40">
        <v>0</v>
      </c>
    </row>
    <row r="24" spans="3:17" x14ac:dyDescent="0.25">
      <c r="C24" s="40"/>
      <c r="D24" s="40"/>
      <c r="E24" s="2"/>
      <c r="G24" s="2"/>
      <c r="H24" s="40">
        <v>0</v>
      </c>
      <c r="I24" s="40">
        <v>0</v>
      </c>
      <c r="J24" s="2"/>
      <c r="L24" s="40"/>
      <c r="M24" s="40"/>
      <c r="N24" s="40">
        <v>0</v>
      </c>
      <c r="O24" s="40">
        <v>0</v>
      </c>
    </row>
    <row r="25" spans="3:17" x14ac:dyDescent="0.25">
      <c r="C25" s="40"/>
      <c r="D25" s="40"/>
      <c r="E25" s="2"/>
      <c r="G25" s="2"/>
      <c r="H25" s="40">
        <v>0</v>
      </c>
      <c r="I25" s="40">
        <v>0</v>
      </c>
      <c r="J25" s="2"/>
      <c r="L25" s="40"/>
      <c r="M25" s="40"/>
      <c r="N25" s="40">
        <v>0</v>
      </c>
      <c r="O25" s="40">
        <v>0</v>
      </c>
    </row>
    <row r="26" spans="3:17" x14ac:dyDescent="0.25">
      <c r="C26" s="40"/>
      <c r="D26" s="40"/>
      <c r="E26" s="2"/>
      <c r="G26" s="2"/>
      <c r="H26" s="40">
        <v>0</v>
      </c>
      <c r="I26" s="40">
        <v>0</v>
      </c>
      <c r="J26" s="2"/>
      <c r="L26" s="40"/>
      <c r="M26" s="40"/>
      <c r="N26" s="40">
        <v>0</v>
      </c>
      <c r="O26" s="40">
        <v>0</v>
      </c>
    </row>
    <row r="27" spans="3:17" x14ac:dyDescent="0.25">
      <c r="C27" s="40"/>
      <c r="D27" s="40"/>
      <c r="E27" s="2"/>
      <c r="G27" s="2"/>
      <c r="H27" s="40">
        <v>0</v>
      </c>
      <c r="I27" s="40">
        <v>0</v>
      </c>
      <c r="J27" s="2"/>
      <c r="L27" s="40"/>
      <c r="M27" s="40"/>
      <c r="N27" s="40">
        <v>0</v>
      </c>
      <c r="O27" s="40">
        <v>0</v>
      </c>
    </row>
    <row r="28" spans="3:17" x14ac:dyDescent="0.25">
      <c r="C28" s="40"/>
      <c r="D28" s="40"/>
      <c r="E28" s="2"/>
      <c r="G28" s="2"/>
      <c r="H28" s="40">
        <v>0</v>
      </c>
      <c r="I28" s="40">
        <v>0</v>
      </c>
      <c r="J28" s="2"/>
      <c r="L28" s="40"/>
      <c r="M28" s="40"/>
      <c r="N28" s="40">
        <v>0</v>
      </c>
      <c r="O28" s="40">
        <v>0</v>
      </c>
    </row>
    <row r="29" spans="3:17" x14ac:dyDescent="0.25">
      <c r="C29" s="40"/>
      <c r="D29" s="40"/>
      <c r="E29" s="2"/>
      <c r="G29" s="2"/>
      <c r="H29" s="40">
        <v>0</v>
      </c>
      <c r="I29" s="40">
        <v>0</v>
      </c>
      <c r="J29" s="2"/>
      <c r="L29" s="40"/>
      <c r="M29" s="40"/>
      <c r="N29" s="40">
        <v>0</v>
      </c>
      <c r="O29" s="40">
        <v>0</v>
      </c>
    </row>
    <row r="30" spans="3:17" x14ac:dyDescent="0.25">
      <c r="C30" s="40"/>
      <c r="D30" s="40"/>
      <c r="E30" s="2"/>
      <c r="G30" s="2"/>
      <c r="H30" s="40">
        <v>0</v>
      </c>
      <c r="I30" s="40">
        <v>0</v>
      </c>
      <c r="J30" s="2"/>
      <c r="L30" s="40"/>
      <c r="M30" s="40"/>
      <c r="N30" s="40">
        <v>0</v>
      </c>
      <c r="O30" s="40">
        <v>0</v>
      </c>
    </row>
    <row r="31" spans="3:17" x14ac:dyDescent="0.25">
      <c r="C31" s="40"/>
      <c r="D31" s="40"/>
      <c r="E31" s="2"/>
      <c r="G31" s="2"/>
      <c r="H31" s="40">
        <v>0</v>
      </c>
      <c r="I31" s="40">
        <v>0</v>
      </c>
      <c r="J31" s="2"/>
      <c r="L31" s="40"/>
      <c r="M31" s="40"/>
      <c r="N31" s="40">
        <v>0</v>
      </c>
      <c r="O31" s="40">
        <v>0</v>
      </c>
    </row>
    <row r="32" spans="3:17" x14ac:dyDescent="0.25">
      <c r="C32" s="40"/>
      <c r="D32" s="40"/>
      <c r="E32" s="2"/>
      <c r="G32" s="2"/>
      <c r="H32" s="40">
        <v>0</v>
      </c>
      <c r="I32" s="40">
        <v>0</v>
      </c>
      <c r="J32" s="2"/>
      <c r="L32" s="40"/>
      <c r="M32" s="40"/>
      <c r="N32" s="40">
        <v>0</v>
      </c>
      <c r="O32" s="40">
        <v>0</v>
      </c>
    </row>
    <row r="33" spans="3:15" x14ac:dyDescent="0.25">
      <c r="C33" s="40"/>
      <c r="D33" s="40"/>
      <c r="E33" s="2"/>
      <c r="G33" s="2"/>
      <c r="H33" s="40">
        <v>0</v>
      </c>
      <c r="I33" s="40">
        <v>0</v>
      </c>
      <c r="J33" s="2"/>
      <c r="L33" s="40"/>
      <c r="M33" s="40"/>
      <c r="N33" s="40">
        <v>0</v>
      </c>
      <c r="O33" s="40">
        <v>0</v>
      </c>
    </row>
    <row r="34" spans="3:15" x14ac:dyDescent="0.25">
      <c r="C34" s="40"/>
      <c r="D34" s="40"/>
      <c r="E34" s="2"/>
      <c r="G34" s="2"/>
      <c r="H34" s="40">
        <v>0</v>
      </c>
      <c r="I34" s="40">
        <v>0</v>
      </c>
      <c r="J34" s="2"/>
      <c r="L34" s="40"/>
      <c r="M34" s="40"/>
      <c r="N34" s="40">
        <v>0</v>
      </c>
      <c r="O34" s="40">
        <v>0</v>
      </c>
    </row>
    <row r="35" spans="3:15" x14ac:dyDescent="0.25">
      <c r="C35" s="40"/>
      <c r="D35" s="40"/>
      <c r="E35" s="2"/>
      <c r="G35" s="2"/>
      <c r="H35" s="40">
        <v>0</v>
      </c>
      <c r="I35" s="40">
        <v>0</v>
      </c>
      <c r="J35" s="2"/>
      <c r="L35" s="40"/>
      <c r="M35" s="40"/>
      <c r="N35" s="40">
        <v>0</v>
      </c>
      <c r="O35" s="40">
        <v>0</v>
      </c>
    </row>
    <row r="36" spans="3:15" x14ac:dyDescent="0.25">
      <c r="C36" s="40"/>
      <c r="D36" s="40"/>
      <c r="E36" s="2"/>
      <c r="G36" s="2"/>
      <c r="H36" s="40">
        <v>0</v>
      </c>
      <c r="I36" s="40">
        <v>0</v>
      </c>
      <c r="J36" s="2"/>
      <c r="L36" s="40"/>
      <c r="M36" s="40"/>
      <c r="N36" s="40">
        <v>0</v>
      </c>
      <c r="O36" s="40">
        <v>0</v>
      </c>
    </row>
    <row r="37" spans="3:15" x14ac:dyDescent="0.25">
      <c r="C37" s="40"/>
      <c r="D37" s="40"/>
      <c r="E37" s="2"/>
      <c r="G37" s="2"/>
      <c r="H37" s="40">
        <v>0</v>
      </c>
      <c r="I37" s="40">
        <v>0</v>
      </c>
      <c r="J37" s="2"/>
      <c r="L37" s="40"/>
      <c r="M37" s="40"/>
      <c r="N37" s="40">
        <v>0</v>
      </c>
      <c r="O37" s="40">
        <v>0</v>
      </c>
    </row>
    <row r="38" spans="3:15" x14ac:dyDescent="0.25">
      <c r="C38" s="40"/>
      <c r="D38" s="40"/>
      <c r="E38" s="2"/>
      <c r="G38" s="2"/>
      <c r="H38" s="40">
        <v>0</v>
      </c>
      <c r="I38" s="40">
        <v>0</v>
      </c>
      <c r="J38" s="2"/>
      <c r="L38" s="40"/>
      <c r="M38" s="40"/>
      <c r="N38" s="40">
        <v>0</v>
      </c>
      <c r="O38" s="40">
        <v>0</v>
      </c>
    </row>
    <row r="39" spans="3:15" x14ac:dyDescent="0.25">
      <c r="C39" s="40"/>
      <c r="D39" s="40"/>
      <c r="E39" s="2"/>
      <c r="G39" s="2"/>
      <c r="H39" s="40">
        <v>0</v>
      </c>
      <c r="I39" s="40">
        <v>0</v>
      </c>
      <c r="J39" s="2"/>
      <c r="L39" s="40"/>
      <c r="M39" s="40"/>
      <c r="N39" s="40">
        <v>0</v>
      </c>
      <c r="O39" s="40">
        <v>0</v>
      </c>
    </row>
    <row r="40" spans="3:15" x14ac:dyDescent="0.25">
      <c r="C40" s="40"/>
      <c r="D40" s="40"/>
      <c r="E40" s="2"/>
      <c r="G40" s="2"/>
      <c r="H40" s="40">
        <v>0</v>
      </c>
      <c r="I40" s="40">
        <v>0</v>
      </c>
      <c r="J40" s="2"/>
      <c r="L40" s="40"/>
      <c r="M40" s="40"/>
      <c r="N40" s="40">
        <v>0</v>
      </c>
      <c r="O40" s="40">
        <v>0</v>
      </c>
    </row>
    <row r="41" spans="3:15" x14ac:dyDescent="0.25">
      <c r="C41" s="40"/>
      <c r="D41" s="40"/>
      <c r="E41" s="2"/>
      <c r="G41" s="2"/>
      <c r="H41" s="40">
        <v>0</v>
      </c>
      <c r="I41" s="40">
        <v>0</v>
      </c>
      <c r="J41" s="2"/>
      <c r="L41" s="40"/>
      <c r="M41" s="40"/>
      <c r="N41" s="40">
        <v>0</v>
      </c>
      <c r="O41" s="40">
        <v>0</v>
      </c>
    </row>
    <row r="42" spans="3:15" x14ac:dyDescent="0.25">
      <c r="C42" s="40"/>
      <c r="D42" s="40"/>
      <c r="E42" s="2"/>
      <c r="G42" s="2"/>
      <c r="H42" s="40">
        <v>0</v>
      </c>
      <c r="I42" s="40">
        <v>0</v>
      </c>
      <c r="J42" s="2"/>
      <c r="L42" s="40"/>
      <c r="M42" s="40"/>
      <c r="N42" s="40">
        <v>0</v>
      </c>
      <c r="O42" s="40">
        <v>0</v>
      </c>
    </row>
    <row r="43" spans="3:15" x14ac:dyDescent="0.25">
      <c r="C43" s="40"/>
      <c r="D43" s="40"/>
      <c r="E43" s="2"/>
      <c r="G43" s="2"/>
      <c r="H43" s="40">
        <v>0</v>
      </c>
      <c r="I43" s="40">
        <v>0</v>
      </c>
      <c r="J43" s="2"/>
      <c r="L43" s="40"/>
      <c r="M43" s="40"/>
      <c r="N43" s="40">
        <v>0</v>
      </c>
      <c r="O43" s="40">
        <v>0</v>
      </c>
    </row>
    <row r="44" spans="3:15" x14ac:dyDescent="0.25">
      <c r="C44" s="40"/>
      <c r="D44" s="40"/>
      <c r="E44" s="2"/>
      <c r="G44" s="2"/>
      <c r="H44" s="40">
        <v>0</v>
      </c>
      <c r="I44" s="40">
        <v>0</v>
      </c>
      <c r="J44" s="2"/>
      <c r="L44" s="40"/>
      <c r="M44" s="40"/>
      <c r="N44" s="40">
        <v>0</v>
      </c>
      <c r="O44" s="40">
        <v>0</v>
      </c>
    </row>
    <row r="45" spans="3:15" x14ac:dyDescent="0.25">
      <c r="C45" s="40"/>
      <c r="D45" s="40"/>
      <c r="E45" s="2"/>
      <c r="G45" s="2"/>
      <c r="H45" s="40">
        <v>0</v>
      </c>
      <c r="I45" s="40">
        <v>0</v>
      </c>
      <c r="J45" s="2"/>
      <c r="L45" s="40"/>
      <c r="M45" s="40"/>
      <c r="N45" s="40">
        <v>0</v>
      </c>
      <c r="O45" s="40">
        <v>0</v>
      </c>
    </row>
    <row r="46" spans="3:15" x14ac:dyDescent="0.25">
      <c r="C46" s="40"/>
      <c r="D46" s="40"/>
      <c r="E46" s="2"/>
      <c r="G46" s="2"/>
      <c r="H46" s="40">
        <v>0</v>
      </c>
      <c r="I46" s="40">
        <v>0</v>
      </c>
      <c r="J46" s="2"/>
      <c r="L46" s="40"/>
      <c r="M46" s="40"/>
      <c r="N46" s="40">
        <v>0</v>
      </c>
      <c r="O46" s="40">
        <v>0</v>
      </c>
    </row>
    <row r="47" spans="3:15" x14ac:dyDescent="0.25">
      <c r="C47" s="40"/>
      <c r="D47" s="40"/>
      <c r="E47" s="2"/>
      <c r="G47" s="2"/>
      <c r="H47" s="40">
        <v>0</v>
      </c>
      <c r="I47" s="40">
        <v>0</v>
      </c>
      <c r="J47" s="2"/>
      <c r="L47" s="40"/>
      <c r="M47" s="40"/>
      <c r="N47" s="40">
        <v>0</v>
      </c>
      <c r="O47" s="40">
        <v>0</v>
      </c>
    </row>
    <row r="48" spans="3:15" x14ac:dyDescent="0.25">
      <c r="C48" s="40"/>
      <c r="D48" s="40"/>
      <c r="E48" s="2"/>
      <c r="G48" s="2"/>
      <c r="H48" s="40">
        <v>0</v>
      </c>
      <c r="I48" s="40">
        <v>0</v>
      </c>
      <c r="J48" s="2"/>
      <c r="L48" s="40"/>
      <c r="M48" s="40"/>
      <c r="N48" s="40">
        <v>0</v>
      </c>
      <c r="O48" s="40">
        <v>0</v>
      </c>
    </row>
    <row r="49" spans="3:15" x14ac:dyDescent="0.25">
      <c r="C49" s="40"/>
      <c r="D49" s="40"/>
      <c r="E49" s="2"/>
      <c r="G49" s="2"/>
      <c r="H49" s="40">
        <v>0</v>
      </c>
      <c r="I49" s="40">
        <v>0</v>
      </c>
      <c r="J49" s="2"/>
      <c r="L49" s="40"/>
      <c r="M49" s="40"/>
      <c r="N49" s="40">
        <v>0</v>
      </c>
      <c r="O49" s="40">
        <v>0</v>
      </c>
    </row>
    <row r="50" spans="3:15" x14ac:dyDescent="0.25">
      <c r="C50" s="40"/>
      <c r="D50" s="40"/>
      <c r="E50" s="2"/>
      <c r="G50" s="2"/>
      <c r="H50" s="40">
        <v>0</v>
      </c>
      <c r="I50" s="40">
        <v>0</v>
      </c>
      <c r="J50" s="2"/>
      <c r="L50" s="40"/>
      <c r="M50" s="40"/>
      <c r="N50" s="40">
        <v>0</v>
      </c>
      <c r="O50" s="40">
        <v>0</v>
      </c>
    </row>
    <row r="51" spans="3:15" x14ac:dyDescent="0.25">
      <c r="C51" s="40"/>
      <c r="D51" s="40"/>
      <c r="E51" s="2"/>
      <c r="G51" s="2"/>
      <c r="H51" s="40">
        <v>0</v>
      </c>
      <c r="I51" s="40">
        <v>0</v>
      </c>
      <c r="J51" s="2"/>
      <c r="L51" s="40"/>
      <c r="M51" s="40"/>
      <c r="N51" s="40">
        <v>0</v>
      </c>
      <c r="O51" s="40">
        <v>0</v>
      </c>
    </row>
    <row r="52" spans="3:15" x14ac:dyDescent="0.25">
      <c r="C52" s="40"/>
      <c r="D52" s="40"/>
      <c r="E52" s="2"/>
      <c r="G52" s="2"/>
      <c r="H52" s="40">
        <v>0</v>
      </c>
      <c r="I52" s="40"/>
      <c r="J52" s="2"/>
      <c r="L52" s="40"/>
      <c r="M52" s="40"/>
      <c r="N52" s="40"/>
    </row>
    <row r="53" spans="3:15" x14ac:dyDescent="0.25">
      <c r="C53" s="40"/>
      <c r="D53" s="40"/>
      <c r="E53" s="2"/>
      <c r="G53" s="2"/>
      <c r="H53" s="40">
        <v>0</v>
      </c>
      <c r="I53" s="40"/>
      <c r="J53" s="2"/>
      <c r="L53" s="40"/>
      <c r="M53" s="40"/>
      <c r="N53" s="40"/>
    </row>
    <row r="54" spans="3:15" x14ac:dyDescent="0.25">
      <c r="C54" s="40"/>
      <c r="D54" s="40"/>
      <c r="E54" s="2"/>
      <c r="G54" s="2"/>
      <c r="H54" s="40">
        <v>0</v>
      </c>
      <c r="I54" s="40"/>
      <c r="J54" s="2"/>
      <c r="L54" s="40"/>
      <c r="M54" s="40"/>
      <c r="N54" s="40"/>
    </row>
    <row r="55" spans="3:15" x14ac:dyDescent="0.25">
      <c r="C55" s="40"/>
      <c r="D55" s="40"/>
      <c r="E55" s="2"/>
      <c r="G55" s="2"/>
      <c r="H55" s="40">
        <v>0</v>
      </c>
      <c r="I55" s="40"/>
      <c r="J55" s="2"/>
      <c r="L55" s="40"/>
      <c r="M55" s="40"/>
      <c r="N55" s="40"/>
    </row>
    <row r="56" spans="3:15" x14ac:dyDescent="0.25">
      <c r="C56" s="40"/>
      <c r="D56" s="40"/>
      <c r="E56" s="2"/>
      <c r="G56" s="2"/>
      <c r="H56" s="40">
        <v>0</v>
      </c>
      <c r="I56" s="40"/>
      <c r="J56" s="2"/>
      <c r="L56" s="40"/>
      <c r="M56" s="40"/>
      <c r="N56" s="40"/>
    </row>
    <row r="57" spans="3:15" x14ac:dyDescent="0.25">
      <c r="C57" s="40"/>
      <c r="D57" s="40"/>
      <c r="E57" s="2"/>
      <c r="G57" s="2"/>
      <c r="H57" s="40">
        <v>0</v>
      </c>
      <c r="I57" s="40"/>
      <c r="J57" s="2"/>
      <c r="L57" s="40"/>
      <c r="M57" s="40"/>
      <c r="N57" s="40"/>
    </row>
    <row r="58" spans="3:15" x14ac:dyDescent="0.25">
      <c r="C58" s="40"/>
      <c r="D58" s="40"/>
      <c r="E58" s="2"/>
      <c r="G58" s="2"/>
      <c r="H58" s="40">
        <v>0</v>
      </c>
      <c r="I58" s="40"/>
      <c r="J58" s="2"/>
      <c r="L58" s="40"/>
      <c r="M58" s="40"/>
      <c r="N58" s="40"/>
    </row>
    <row r="59" spans="3:15" x14ac:dyDescent="0.25">
      <c r="C59" s="40"/>
      <c r="D59" s="40"/>
      <c r="E59" s="2"/>
      <c r="G59" s="2"/>
      <c r="H59" s="40">
        <v>0</v>
      </c>
      <c r="I59" s="40"/>
      <c r="J59" s="2"/>
      <c r="L59" s="40"/>
      <c r="M59" s="40"/>
      <c r="N59" s="40"/>
    </row>
    <row r="60" spans="3:15" x14ac:dyDescent="0.25">
      <c r="C60" s="40"/>
      <c r="D60" s="40"/>
      <c r="E60" s="2"/>
      <c r="G60" s="2"/>
      <c r="H60" s="40">
        <v>0</v>
      </c>
      <c r="I60" s="40"/>
      <c r="J60" s="2"/>
      <c r="L60" s="40"/>
      <c r="M60" s="40"/>
      <c r="N60" s="40"/>
    </row>
    <row r="61" spans="3:15" x14ac:dyDescent="0.25">
      <c r="C61" s="40"/>
      <c r="D61" s="40"/>
      <c r="E61" s="2"/>
      <c r="G61" s="2"/>
      <c r="H61" s="40">
        <v>0</v>
      </c>
      <c r="I61" s="40"/>
      <c r="J61" s="2"/>
      <c r="L61" s="40"/>
      <c r="M61" s="40"/>
      <c r="N61" s="40"/>
    </row>
    <row r="62" spans="3:15" x14ac:dyDescent="0.25">
      <c r="C62" s="40"/>
      <c r="D62" s="40"/>
      <c r="E62" s="2"/>
      <c r="G62" s="2"/>
      <c r="H62" s="40">
        <v>0</v>
      </c>
      <c r="I62" s="40"/>
      <c r="J62" s="2"/>
      <c r="L62" s="40"/>
      <c r="M62" s="40"/>
      <c r="N62" s="40"/>
    </row>
    <row r="63" spans="3:15" x14ac:dyDescent="0.25">
      <c r="C63" s="40"/>
      <c r="D63" s="40"/>
      <c r="E63" s="2"/>
      <c r="G63" s="2"/>
      <c r="H63" s="40">
        <v>0</v>
      </c>
      <c r="I63" s="40"/>
      <c r="J63" s="2"/>
      <c r="L63" s="40"/>
      <c r="M63" s="40"/>
      <c r="N63" s="40"/>
    </row>
    <row r="64" spans="3:15" x14ac:dyDescent="0.25">
      <c r="C64" s="40"/>
      <c r="D64" s="40"/>
      <c r="E64" s="2"/>
      <c r="G64" s="2"/>
      <c r="H64" s="40">
        <v>0</v>
      </c>
      <c r="I64" s="40"/>
      <c r="J64" s="2"/>
      <c r="L64" s="40"/>
      <c r="M64" s="40"/>
      <c r="N64" s="40"/>
    </row>
    <row r="65" spans="3:14" x14ac:dyDescent="0.25">
      <c r="C65" s="40"/>
      <c r="D65" s="40"/>
      <c r="E65" s="2"/>
      <c r="G65" s="2"/>
      <c r="H65" s="40">
        <v>0</v>
      </c>
      <c r="I65" s="40"/>
      <c r="J65" s="2"/>
      <c r="L65" s="40"/>
      <c r="M65" s="40"/>
      <c r="N65" s="40"/>
    </row>
    <row r="66" spans="3:14" x14ac:dyDescent="0.25">
      <c r="C66" s="40"/>
      <c r="D66" s="40"/>
      <c r="E66" s="2"/>
      <c r="G66" s="2"/>
      <c r="H66" s="40">
        <v>0</v>
      </c>
      <c r="I66" s="40"/>
      <c r="J66" s="2"/>
      <c r="L66" s="40"/>
      <c r="M66" s="40"/>
      <c r="N66" s="40"/>
    </row>
    <row r="67" spans="3:14" x14ac:dyDescent="0.25">
      <c r="C67" s="40"/>
      <c r="D67" s="40"/>
      <c r="E67" s="2"/>
      <c r="G67" s="2"/>
      <c r="H67" s="40">
        <v>0</v>
      </c>
      <c r="I67" s="40"/>
      <c r="J67" s="2"/>
      <c r="L67" s="40"/>
      <c r="M67" s="40"/>
      <c r="N67" s="40"/>
    </row>
    <row r="68" spans="3:14" x14ac:dyDescent="0.25">
      <c r="C68" s="40"/>
      <c r="D68" s="40"/>
      <c r="E68" s="2"/>
      <c r="G68" s="2"/>
      <c r="H68" s="40">
        <v>0</v>
      </c>
      <c r="I68" s="40"/>
      <c r="J68" s="2"/>
      <c r="L68" s="40"/>
      <c r="M68" s="40"/>
      <c r="N68" s="40"/>
    </row>
    <row r="69" spans="3:14" x14ac:dyDescent="0.25">
      <c r="C69" s="40"/>
      <c r="D69" s="40"/>
      <c r="E69" s="2"/>
      <c r="G69" s="2"/>
      <c r="H69" s="40">
        <v>0</v>
      </c>
      <c r="I69" s="40"/>
      <c r="J69" s="2"/>
      <c r="L69" s="40"/>
      <c r="M69" s="40"/>
      <c r="N69" s="40"/>
    </row>
    <row r="70" spans="3:14" x14ac:dyDescent="0.25">
      <c r="C70" s="40"/>
      <c r="D70" s="40"/>
      <c r="E70" s="2"/>
      <c r="G70" s="2"/>
      <c r="H70" s="40">
        <v>0</v>
      </c>
      <c r="I70" s="40"/>
      <c r="J70" s="2"/>
      <c r="L70" s="40"/>
      <c r="M70" s="40"/>
      <c r="N70" s="40"/>
    </row>
    <row r="71" spans="3:14" x14ac:dyDescent="0.25">
      <c r="C71" s="40"/>
      <c r="D71" s="40"/>
      <c r="E71" s="2"/>
      <c r="G71" s="2"/>
      <c r="H71" s="40">
        <v>0</v>
      </c>
      <c r="I71" s="40"/>
      <c r="J71" s="2"/>
      <c r="L71" s="40"/>
      <c r="M71" s="40"/>
      <c r="N71" s="40"/>
    </row>
    <row r="72" spans="3:14" x14ac:dyDescent="0.25">
      <c r="C72" s="40"/>
      <c r="D72" s="40"/>
      <c r="E72" s="2"/>
      <c r="G72" s="2"/>
      <c r="H72" s="40">
        <v>0</v>
      </c>
      <c r="I72" s="40"/>
      <c r="J72" s="2"/>
      <c r="L72" s="40"/>
      <c r="M72" s="40"/>
      <c r="N72" s="40"/>
    </row>
    <row r="73" spans="3:14" x14ac:dyDescent="0.25">
      <c r="C73" s="40"/>
      <c r="D73" s="40"/>
      <c r="E73" s="2"/>
      <c r="G73" s="2"/>
      <c r="H73" s="40">
        <v>0</v>
      </c>
      <c r="I73" s="40"/>
      <c r="J73" s="2"/>
      <c r="L73" s="40"/>
      <c r="M73" s="40"/>
      <c r="N73" s="40"/>
    </row>
    <row r="74" spans="3:14" x14ac:dyDescent="0.25">
      <c r="C74" s="40"/>
      <c r="D74" s="40"/>
      <c r="E74" s="2"/>
      <c r="G74" s="2"/>
      <c r="H74" s="40">
        <v>0</v>
      </c>
      <c r="I74" s="40"/>
      <c r="J74" s="2"/>
      <c r="L74" s="40"/>
      <c r="M74" s="40"/>
      <c r="N74" s="40"/>
    </row>
    <row r="75" spans="3:14" x14ac:dyDescent="0.25">
      <c r="C75" s="40"/>
      <c r="D75" s="40"/>
      <c r="E75" s="2"/>
      <c r="G75" s="2"/>
      <c r="H75" s="40">
        <v>0</v>
      </c>
      <c r="I75" s="40"/>
      <c r="J75" s="2"/>
      <c r="L75" s="40"/>
      <c r="M75" s="40"/>
      <c r="N75" s="40"/>
    </row>
    <row r="76" spans="3:14" x14ac:dyDescent="0.25">
      <c r="C76" s="40"/>
      <c r="D76" s="40"/>
      <c r="E76" s="2"/>
      <c r="G76" s="2"/>
      <c r="H76" s="40">
        <v>0</v>
      </c>
      <c r="I76" s="40"/>
      <c r="J76" s="2"/>
      <c r="L76" s="40"/>
      <c r="M76" s="40"/>
      <c r="N76" s="40"/>
    </row>
    <row r="77" spans="3:14" x14ac:dyDescent="0.25">
      <c r="C77" s="40"/>
      <c r="D77" s="40"/>
      <c r="E77" s="2"/>
      <c r="G77" s="2"/>
      <c r="H77" s="40">
        <v>0</v>
      </c>
      <c r="I77" s="40"/>
      <c r="J77" s="2"/>
      <c r="L77" s="40"/>
      <c r="M77" s="40"/>
      <c r="N77" s="40"/>
    </row>
    <row r="78" spans="3:14" x14ac:dyDescent="0.25">
      <c r="C78" s="40"/>
      <c r="D78" s="40"/>
      <c r="E78" s="2"/>
      <c r="G78" s="2"/>
      <c r="H78" s="40">
        <v>0</v>
      </c>
      <c r="I78" s="40"/>
      <c r="J78" s="2"/>
      <c r="L78" s="40"/>
      <c r="M78" s="40"/>
      <c r="N78" s="40"/>
    </row>
    <row r="79" spans="3:14" x14ac:dyDescent="0.25">
      <c r="C79" s="40"/>
      <c r="D79" s="40"/>
      <c r="E79" s="2"/>
      <c r="G79" s="2"/>
      <c r="H79" s="40">
        <v>0</v>
      </c>
      <c r="I79" s="40"/>
      <c r="J79" s="2"/>
      <c r="L79" s="40"/>
      <c r="M79" s="40"/>
      <c r="N79" s="40"/>
    </row>
    <row r="80" spans="3:14" x14ac:dyDescent="0.25">
      <c r="C80" s="40"/>
      <c r="D80" s="40"/>
      <c r="E80" s="2"/>
      <c r="G80" s="2"/>
      <c r="H80" s="40">
        <v>0</v>
      </c>
      <c r="I80" s="40"/>
      <c r="J80" s="2"/>
      <c r="L80" s="40"/>
      <c r="M80" s="40"/>
      <c r="N80" s="40"/>
    </row>
    <row r="81" spans="3:14" x14ac:dyDescent="0.25">
      <c r="C81" s="40"/>
      <c r="D81" s="40"/>
      <c r="E81" s="2"/>
      <c r="G81" s="2"/>
      <c r="H81" s="40">
        <v>0</v>
      </c>
      <c r="I81" s="40"/>
      <c r="J81" s="2"/>
      <c r="L81" s="40"/>
      <c r="M81" s="40"/>
      <c r="N81" s="40"/>
    </row>
    <row r="82" spans="3:14" x14ac:dyDescent="0.25">
      <c r="C82" s="40"/>
      <c r="D82" s="40"/>
      <c r="E82" s="2"/>
      <c r="G82" s="2"/>
      <c r="H82" s="40">
        <v>0</v>
      </c>
      <c r="I82" s="40"/>
      <c r="J82" s="2"/>
      <c r="L82" s="40"/>
      <c r="M82" s="40"/>
      <c r="N82" s="40"/>
    </row>
    <row r="83" spans="3:14" x14ac:dyDescent="0.25">
      <c r="C83" s="40"/>
      <c r="D83" s="40"/>
      <c r="E83" s="2"/>
      <c r="G83" s="2"/>
      <c r="H83" s="40">
        <v>0</v>
      </c>
      <c r="I83" s="40"/>
      <c r="J83" s="2"/>
      <c r="L83" s="40"/>
      <c r="M83" s="40"/>
      <c r="N83" s="40"/>
    </row>
    <row r="84" spans="3:14" x14ac:dyDescent="0.25">
      <c r="C84" s="40"/>
      <c r="D84" s="40"/>
      <c r="E84" s="2"/>
      <c r="G84" s="2"/>
      <c r="H84" s="40">
        <v>0</v>
      </c>
      <c r="I84" s="40"/>
      <c r="J84" s="2"/>
      <c r="L84" s="40"/>
      <c r="M84" s="40"/>
      <c r="N84" s="40"/>
    </row>
    <row r="85" spans="3:14" x14ac:dyDescent="0.25">
      <c r="C85" s="40"/>
      <c r="D85" s="40"/>
      <c r="E85" s="2"/>
      <c r="G85" s="2"/>
      <c r="H85" s="40">
        <v>0</v>
      </c>
      <c r="I85" s="40"/>
      <c r="J85" s="2"/>
      <c r="L85" s="40"/>
      <c r="M85" s="40"/>
      <c r="N85" s="40"/>
    </row>
    <row r="86" spans="3:14" x14ac:dyDescent="0.25">
      <c r="C86" s="40"/>
      <c r="D86" s="40"/>
      <c r="E86" s="2"/>
      <c r="G86" s="2"/>
      <c r="H86" s="40">
        <v>0</v>
      </c>
      <c r="I86" s="40"/>
      <c r="J86" s="2"/>
      <c r="L86" s="40"/>
      <c r="M86" s="40"/>
      <c r="N86" s="40"/>
    </row>
    <row r="87" spans="3:14" x14ac:dyDescent="0.25">
      <c r="C87" s="40"/>
      <c r="D87" s="40"/>
      <c r="E87" s="2"/>
      <c r="G87" s="2"/>
      <c r="H87" s="40">
        <v>0</v>
      </c>
      <c r="I87" s="40"/>
      <c r="J87" s="2"/>
      <c r="L87" s="40"/>
      <c r="M87" s="40"/>
      <c r="N87" s="40"/>
    </row>
    <row r="88" spans="3:14" x14ac:dyDescent="0.25">
      <c r="C88" s="40"/>
      <c r="D88" s="40"/>
      <c r="E88" s="2"/>
      <c r="G88" s="2"/>
      <c r="H88" s="40">
        <v>0</v>
      </c>
      <c r="I88" s="40"/>
      <c r="J88" s="2"/>
      <c r="L88" s="40"/>
      <c r="M88" s="40"/>
      <c r="N88" s="40"/>
    </row>
    <row r="89" spans="3:14" x14ac:dyDescent="0.25">
      <c r="C89" s="40"/>
      <c r="D89" s="40"/>
      <c r="E89" s="2"/>
      <c r="G89" s="2"/>
      <c r="H89" s="40">
        <v>0</v>
      </c>
      <c r="I89" s="40"/>
      <c r="J89" s="2"/>
      <c r="L89" s="40"/>
      <c r="M89" s="40"/>
      <c r="N89" s="40"/>
    </row>
    <row r="90" spans="3:14" x14ac:dyDescent="0.25">
      <c r="C90" s="40"/>
      <c r="D90" s="40"/>
      <c r="E90" s="2"/>
      <c r="G90" s="2"/>
      <c r="H90" s="40">
        <v>0</v>
      </c>
      <c r="I90" s="40"/>
      <c r="J90" s="2"/>
      <c r="L90" s="40"/>
      <c r="M90" s="40"/>
      <c r="N90" s="40"/>
    </row>
    <row r="91" spans="3:14" x14ac:dyDescent="0.25">
      <c r="C91" s="40"/>
      <c r="D91" s="40"/>
      <c r="E91" s="2"/>
      <c r="G91" s="2"/>
      <c r="H91" s="40">
        <v>0</v>
      </c>
      <c r="I91" s="40"/>
      <c r="J91" s="2"/>
      <c r="L91" s="40"/>
      <c r="M91" s="40"/>
      <c r="N91" s="40"/>
    </row>
    <row r="92" spans="3:14" x14ac:dyDescent="0.25">
      <c r="C92" s="40"/>
      <c r="D92" s="40"/>
      <c r="E92" s="2"/>
      <c r="G92" s="2"/>
      <c r="H92" s="40">
        <v>0</v>
      </c>
      <c r="I92" s="40"/>
      <c r="J92" s="2"/>
      <c r="L92" s="40"/>
      <c r="M92" s="40"/>
      <c r="N92" s="40"/>
    </row>
    <row r="93" spans="3:14" x14ac:dyDescent="0.25">
      <c r="C93" s="40"/>
      <c r="D93" s="40"/>
      <c r="E93" s="2"/>
      <c r="G93" s="2"/>
      <c r="H93" s="40">
        <v>0</v>
      </c>
      <c r="I93" s="40"/>
      <c r="J93" s="2"/>
      <c r="L93" s="40"/>
      <c r="M93" s="40"/>
      <c r="N93" s="40"/>
    </row>
    <row r="94" spans="3:14" x14ac:dyDescent="0.25">
      <c r="C94" s="40"/>
      <c r="D94" s="40"/>
      <c r="E94" s="2"/>
      <c r="G94" s="2"/>
      <c r="H94" s="40">
        <v>0</v>
      </c>
      <c r="I94" s="40"/>
      <c r="J94" s="2"/>
      <c r="L94" s="40"/>
      <c r="M94" s="40"/>
      <c r="N94" s="40"/>
    </row>
    <row r="95" spans="3:14" x14ac:dyDescent="0.25">
      <c r="C95" s="40"/>
      <c r="D95" s="40"/>
      <c r="E95" s="2"/>
      <c r="G95" s="2"/>
      <c r="H95" s="40">
        <v>0</v>
      </c>
      <c r="I95" s="40"/>
      <c r="J95" s="2"/>
      <c r="L95" s="40"/>
      <c r="M95" s="40"/>
      <c r="N95" s="40"/>
    </row>
    <row r="96" spans="3:14" x14ac:dyDescent="0.25">
      <c r="C96" s="40"/>
      <c r="D96" s="40"/>
      <c r="E96" s="2"/>
      <c r="G96" s="2"/>
      <c r="H96" s="40">
        <v>0</v>
      </c>
      <c r="I96" s="40"/>
      <c r="J96" s="2"/>
      <c r="L96" s="40"/>
      <c r="M96" s="40"/>
      <c r="N96" s="40"/>
    </row>
    <row r="97" spans="3:14" x14ac:dyDescent="0.25">
      <c r="C97" s="40"/>
      <c r="D97" s="40"/>
      <c r="E97" s="2"/>
      <c r="G97" s="2"/>
      <c r="H97" s="40">
        <v>0</v>
      </c>
      <c r="I97" s="40"/>
      <c r="J97" s="2"/>
      <c r="L97" s="40"/>
      <c r="M97" s="40"/>
      <c r="N97" s="40"/>
    </row>
    <row r="98" spans="3:14" x14ac:dyDescent="0.25">
      <c r="C98" s="40"/>
      <c r="D98" s="40"/>
      <c r="E98" s="2"/>
      <c r="G98" s="2"/>
      <c r="H98" s="40">
        <v>0</v>
      </c>
      <c r="I98" s="40"/>
      <c r="J98" s="2"/>
      <c r="L98" s="40"/>
      <c r="M98" s="40"/>
      <c r="N98" s="40"/>
    </row>
    <row r="99" spans="3:14" x14ac:dyDescent="0.25">
      <c r="C99" s="40"/>
      <c r="D99" s="40"/>
      <c r="E99" s="2"/>
      <c r="G99" s="2"/>
      <c r="H99" s="40">
        <v>0</v>
      </c>
      <c r="I99" s="40"/>
      <c r="J99" s="2"/>
      <c r="L99" s="40"/>
      <c r="M99" s="40"/>
      <c r="N99" s="40"/>
    </row>
    <row r="100" spans="3:14" x14ac:dyDescent="0.25">
      <c r="C100" s="40"/>
      <c r="D100" s="40"/>
      <c r="E100" s="2"/>
      <c r="G100" s="2"/>
      <c r="H100" s="40">
        <v>0</v>
      </c>
      <c r="I100" s="40"/>
      <c r="J100" s="2"/>
      <c r="L100" s="40"/>
      <c r="M100" s="40"/>
      <c r="N100" s="40"/>
    </row>
    <row r="101" spans="3:14" x14ac:dyDescent="0.25">
      <c r="H101" s="40">
        <v>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4"/>
  <dimension ref="A1:T100"/>
  <sheetViews>
    <sheetView workbookViewId="0">
      <selection activeCell="I13" sqref="I13"/>
    </sheetView>
  </sheetViews>
  <sheetFormatPr defaultRowHeight="15" x14ac:dyDescent="0.25"/>
  <cols>
    <col min="1" max="11" width="9.140625" style="40"/>
    <col min="12" max="20" width="9.140625" style="66"/>
    <col min="21" max="16384" width="9.140625" style="37"/>
  </cols>
  <sheetData>
    <row r="1" spans="1:12" s="69" customFormat="1" x14ac:dyDescent="0.25">
      <c r="A1" s="26"/>
      <c r="B1" s="26" t="s">
        <v>15</v>
      </c>
      <c r="C1" s="26" t="s">
        <v>22</v>
      </c>
      <c r="D1" s="26" t="s">
        <v>21</v>
      </c>
      <c r="E1" s="26" t="s">
        <v>256</v>
      </c>
      <c r="F1" s="26"/>
      <c r="G1" s="26"/>
      <c r="H1" s="26"/>
      <c r="I1" s="26"/>
      <c r="J1" s="26"/>
      <c r="K1" s="26"/>
    </row>
    <row r="2" spans="1:12" s="66" customFormat="1" x14ac:dyDescent="0.25">
      <c r="A2" s="88" t="s">
        <v>324</v>
      </c>
      <c r="B2" s="83">
        <v>60000</v>
      </c>
      <c r="C2" s="83"/>
      <c r="D2" s="83"/>
      <c r="E2" s="83"/>
      <c r="F2" s="83"/>
      <c r="G2" s="83"/>
      <c r="H2" s="83"/>
      <c r="I2" s="83"/>
      <c r="J2" s="83"/>
      <c r="K2" s="83"/>
      <c r="L2" s="24"/>
    </row>
    <row r="3" spans="1:12" s="66" customFormat="1" x14ac:dyDescent="0.25">
      <c r="A3" s="88" t="s">
        <v>161</v>
      </c>
      <c r="B3" s="83">
        <v>375</v>
      </c>
      <c r="C3" s="83"/>
      <c r="D3" s="83"/>
      <c r="E3" s="83"/>
      <c r="F3" s="83"/>
      <c r="G3" s="83"/>
      <c r="H3" s="83">
        <v>192</v>
      </c>
      <c r="I3" s="83">
        <v>500</v>
      </c>
      <c r="J3" s="83"/>
      <c r="K3" s="83"/>
      <c r="L3" s="24"/>
    </row>
    <row r="4" spans="1:12" x14ac:dyDescent="0.25">
      <c r="A4" s="40">
        <v>0</v>
      </c>
      <c r="B4" s="48">
        <v>120</v>
      </c>
      <c r="C4" s="48">
        <v>0</v>
      </c>
      <c r="D4" s="48">
        <v>0</v>
      </c>
      <c r="E4" s="48">
        <v>0</v>
      </c>
      <c r="F4" s="83">
        <v>0</v>
      </c>
      <c r="G4" s="40">
        <v>0</v>
      </c>
      <c r="H4" s="40">
        <v>0</v>
      </c>
      <c r="I4" s="40">
        <v>180</v>
      </c>
      <c r="J4" s="40">
        <v>0</v>
      </c>
      <c r="K4" s="40">
        <v>0</v>
      </c>
      <c r="L4" s="37"/>
    </row>
    <row r="5" spans="1:12" x14ac:dyDescent="0.25">
      <c r="A5" s="40">
        <v>0</v>
      </c>
      <c r="B5" s="48">
        <v>240</v>
      </c>
      <c r="C5" s="48">
        <v>0</v>
      </c>
      <c r="D5" s="48">
        <v>0</v>
      </c>
      <c r="E5" s="48">
        <v>0</v>
      </c>
      <c r="F5" s="83">
        <v>0</v>
      </c>
      <c r="G5" s="40">
        <v>0</v>
      </c>
      <c r="H5" s="40">
        <v>0</v>
      </c>
      <c r="I5" s="40">
        <v>60</v>
      </c>
      <c r="J5" s="40">
        <v>0</v>
      </c>
      <c r="K5" s="40">
        <v>0</v>
      </c>
      <c r="L5" s="37"/>
    </row>
    <row r="6" spans="1:12" x14ac:dyDescent="0.25">
      <c r="A6" s="40">
        <v>0</v>
      </c>
      <c r="B6" s="48">
        <v>300</v>
      </c>
      <c r="C6" s="48">
        <v>0</v>
      </c>
      <c r="D6" s="48">
        <v>0</v>
      </c>
      <c r="E6" s="48">
        <v>0</v>
      </c>
      <c r="F6" s="83">
        <v>0</v>
      </c>
      <c r="G6" s="40">
        <v>0</v>
      </c>
      <c r="H6" s="40">
        <v>420</v>
      </c>
      <c r="I6" s="40">
        <v>120</v>
      </c>
      <c r="J6" s="40">
        <v>0</v>
      </c>
      <c r="K6" s="40">
        <v>0</v>
      </c>
      <c r="L6" s="37"/>
    </row>
    <row r="7" spans="1:12" x14ac:dyDescent="0.25">
      <c r="A7" s="40">
        <v>0</v>
      </c>
      <c r="B7" s="48">
        <v>360</v>
      </c>
      <c r="C7" s="48">
        <v>0</v>
      </c>
      <c r="D7" s="48">
        <v>0</v>
      </c>
      <c r="E7" s="48">
        <v>0</v>
      </c>
      <c r="F7" s="83">
        <v>0</v>
      </c>
      <c r="G7" s="40">
        <v>0</v>
      </c>
      <c r="H7" s="40">
        <v>360</v>
      </c>
      <c r="I7" s="40">
        <v>120</v>
      </c>
      <c r="J7" s="40">
        <v>0</v>
      </c>
      <c r="K7" s="40">
        <v>0</v>
      </c>
      <c r="L7" s="37"/>
    </row>
    <row r="8" spans="1:12" x14ac:dyDescent="0.25">
      <c r="A8" s="40">
        <v>0</v>
      </c>
      <c r="B8" s="48">
        <v>240</v>
      </c>
      <c r="C8" s="48">
        <v>0</v>
      </c>
      <c r="D8" s="48">
        <v>0</v>
      </c>
      <c r="E8" s="48">
        <v>0</v>
      </c>
      <c r="F8" s="83">
        <v>0</v>
      </c>
      <c r="G8" s="40">
        <v>0</v>
      </c>
      <c r="H8" s="40">
        <v>540</v>
      </c>
      <c r="I8" s="40">
        <v>180</v>
      </c>
      <c r="J8" s="40">
        <v>0</v>
      </c>
      <c r="K8" s="40">
        <v>0</v>
      </c>
      <c r="L8" s="37"/>
    </row>
    <row r="9" spans="1:12" x14ac:dyDescent="0.25">
      <c r="A9" s="40">
        <v>0</v>
      </c>
      <c r="B9" s="48">
        <v>120</v>
      </c>
      <c r="C9" s="48">
        <v>0</v>
      </c>
      <c r="D9" s="48">
        <v>0</v>
      </c>
      <c r="E9" s="48">
        <v>0</v>
      </c>
      <c r="F9" s="83">
        <v>0</v>
      </c>
      <c r="G9" s="40">
        <v>0</v>
      </c>
      <c r="H9" s="40">
        <v>600</v>
      </c>
      <c r="I9" s="40">
        <v>240</v>
      </c>
      <c r="J9" s="40">
        <v>0</v>
      </c>
      <c r="K9" s="40">
        <v>0</v>
      </c>
      <c r="L9" s="37"/>
    </row>
    <row r="10" spans="1:12" x14ac:dyDescent="0.25">
      <c r="A10" s="40">
        <v>0</v>
      </c>
      <c r="B10" s="48">
        <v>180</v>
      </c>
      <c r="C10" s="48">
        <v>0</v>
      </c>
      <c r="D10" s="48">
        <v>0</v>
      </c>
      <c r="E10" s="48">
        <v>0</v>
      </c>
      <c r="F10" s="83">
        <v>0</v>
      </c>
      <c r="G10" s="40">
        <v>0</v>
      </c>
      <c r="H10" s="40">
        <v>120</v>
      </c>
      <c r="I10" s="40">
        <v>420</v>
      </c>
      <c r="J10" s="40">
        <v>0</v>
      </c>
      <c r="K10" s="40">
        <v>0</v>
      </c>
      <c r="L10" s="37"/>
    </row>
    <row r="11" spans="1:12" x14ac:dyDescent="0.25">
      <c r="A11" s="40">
        <v>0</v>
      </c>
      <c r="B11" s="48">
        <v>0</v>
      </c>
      <c r="C11" s="48">
        <v>0</v>
      </c>
      <c r="D11" s="48">
        <v>0</v>
      </c>
      <c r="E11" s="48">
        <v>0</v>
      </c>
      <c r="F11" s="83">
        <v>0</v>
      </c>
      <c r="G11" s="40">
        <v>0</v>
      </c>
      <c r="H11" s="40">
        <v>300</v>
      </c>
      <c r="I11" s="40">
        <v>480</v>
      </c>
      <c r="J11" s="40">
        <v>0</v>
      </c>
      <c r="K11" s="40">
        <v>0</v>
      </c>
      <c r="L11" s="37"/>
    </row>
    <row r="12" spans="1:12" x14ac:dyDescent="0.25">
      <c r="A12" s="40">
        <v>0</v>
      </c>
      <c r="B12" s="48"/>
      <c r="C12" s="48"/>
      <c r="D12" s="48"/>
      <c r="E12" s="48"/>
      <c r="F12" s="83"/>
      <c r="L12" s="37"/>
    </row>
    <row r="13" spans="1:12" x14ac:dyDescent="0.25">
      <c r="A13" s="40">
        <v>0</v>
      </c>
      <c r="B13" s="48"/>
      <c r="C13" s="48"/>
      <c r="D13" s="48"/>
      <c r="E13" s="48"/>
      <c r="F13" s="83"/>
      <c r="L13" s="37"/>
    </row>
    <row r="14" spans="1:12" x14ac:dyDescent="0.25">
      <c r="A14" s="40">
        <v>0</v>
      </c>
      <c r="B14" s="48"/>
      <c r="C14" s="48"/>
      <c r="D14" s="48"/>
      <c r="E14" s="48"/>
      <c r="F14" s="83"/>
      <c r="L14" s="37"/>
    </row>
    <row r="15" spans="1:12" x14ac:dyDescent="0.25">
      <c r="A15" s="40">
        <v>0</v>
      </c>
      <c r="B15" s="48"/>
      <c r="C15" s="48"/>
      <c r="D15" s="48"/>
      <c r="E15" s="48"/>
      <c r="F15" s="83"/>
      <c r="L15" s="37"/>
    </row>
    <row r="16" spans="1:12" x14ac:dyDescent="0.25">
      <c r="A16" s="40">
        <v>0</v>
      </c>
      <c r="B16" s="48"/>
      <c r="C16" s="48"/>
      <c r="D16" s="48"/>
      <c r="E16" s="48"/>
      <c r="F16" s="83"/>
      <c r="L16" s="37"/>
    </row>
    <row r="17" spans="1:12" x14ac:dyDescent="0.25">
      <c r="A17" s="40">
        <v>0</v>
      </c>
      <c r="B17" s="48"/>
      <c r="C17" s="48"/>
      <c r="D17" s="48"/>
      <c r="E17" s="48"/>
      <c r="F17" s="83"/>
      <c r="L17" s="37"/>
    </row>
    <row r="18" spans="1:12" x14ac:dyDescent="0.25">
      <c r="A18" s="40">
        <v>0</v>
      </c>
      <c r="B18" s="48"/>
      <c r="C18" s="48"/>
      <c r="D18" s="48"/>
      <c r="E18" s="48"/>
      <c r="F18" s="83"/>
      <c r="L18" s="37"/>
    </row>
    <row r="19" spans="1:12" x14ac:dyDescent="0.25">
      <c r="A19" s="40">
        <v>0</v>
      </c>
      <c r="B19" s="48"/>
      <c r="C19" s="48"/>
      <c r="D19" s="48"/>
      <c r="E19" s="48"/>
      <c r="F19" s="83"/>
      <c r="L19" s="37"/>
    </row>
    <row r="20" spans="1:12" x14ac:dyDescent="0.25">
      <c r="A20" s="40">
        <v>0</v>
      </c>
      <c r="B20" s="48"/>
      <c r="C20" s="48"/>
      <c r="D20" s="48"/>
      <c r="E20" s="48"/>
      <c r="F20" s="83"/>
      <c r="L20" s="37"/>
    </row>
    <row r="21" spans="1:12" x14ac:dyDescent="0.25">
      <c r="B21" s="48"/>
      <c r="C21" s="48"/>
      <c r="D21" s="48"/>
      <c r="E21" s="48"/>
      <c r="F21" s="83"/>
    </row>
    <row r="22" spans="1:12" x14ac:dyDescent="0.25">
      <c r="B22" s="48"/>
      <c r="C22" s="48"/>
      <c r="D22" s="48"/>
      <c r="E22" s="48"/>
      <c r="F22" s="83"/>
    </row>
    <row r="23" spans="1:12" x14ac:dyDescent="0.25">
      <c r="B23" s="48"/>
      <c r="C23" s="48"/>
      <c r="D23" s="48"/>
      <c r="E23" s="48"/>
      <c r="F23" s="83"/>
    </row>
    <row r="24" spans="1:12" x14ac:dyDescent="0.25">
      <c r="B24" s="48"/>
      <c r="C24" s="48"/>
      <c r="D24" s="48"/>
      <c r="E24" s="48"/>
      <c r="F24" s="83"/>
    </row>
    <row r="25" spans="1:12" x14ac:dyDescent="0.25">
      <c r="B25" s="48"/>
      <c r="C25" s="48"/>
      <c r="D25" s="48"/>
      <c r="E25" s="48"/>
      <c r="F25" s="83"/>
    </row>
    <row r="26" spans="1:12" x14ac:dyDescent="0.25">
      <c r="B26" s="48"/>
      <c r="C26" s="48"/>
      <c r="D26" s="48"/>
      <c r="E26" s="48"/>
      <c r="F26" s="83"/>
    </row>
    <row r="27" spans="1:12" x14ac:dyDescent="0.25">
      <c r="B27" s="48"/>
      <c r="C27" s="48"/>
      <c r="D27" s="48"/>
      <c r="E27" s="48"/>
      <c r="F27" s="83"/>
    </row>
    <row r="28" spans="1:12" x14ac:dyDescent="0.25">
      <c r="B28" s="48"/>
      <c r="C28" s="48"/>
      <c r="D28" s="48"/>
      <c r="E28" s="48"/>
      <c r="F28" s="83"/>
    </row>
    <row r="29" spans="1:12" x14ac:dyDescent="0.25">
      <c r="B29" s="48"/>
      <c r="C29" s="48"/>
      <c r="D29" s="48"/>
      <c r="E29" s="48"/>
      <c r="F29" s="83"/>
    </row>
    <row r="30" spans="1:12" x14ac:dyDescent="0.25">
      <c r="B30" s="48"/>
      <c r="C30" s="48"/>
      <c r="D30" s="48"/>
      <c r="E30" s="48"/>
      <c r="F30" s="83"/>
    </row>
    <row r="31" spans="1:12" x14ac:dyDescent="0.25">
      <c r="B31" s="48"/>
      <c r="C31" s="48"/>
      <c r="D31" s="48"/>
      <c r="E31" s="48"/>
      <c r="F31" s="83"/>
    </row>
    <row r="32" spans="1:12" x14ac:dyDescent="0.25">
      <c r="B32" s="48"/>
      <c r="C32" s="48"/>
      <c r="D32" s="48"/>
      <c r="E32" s="48"/>
      <c r="F32" s="83"/>
    </row>
    <row r="33" spans="2:6" x14ac:dyDescent="0.25">
      <c r="B33" s="48"/>
      <c r="C33" s="48"/>
      <c r="D33" s="48"/>
      <c r="E33" s="48"/>
      <c r="F33" s="83"/>
    </row>
    <row r="34" spans="2:6" x14ac:dyDescent="0.25">
      <c r="B34" s="48"/>
      <c r="C34" s="48"/>
      <c r="D34" s="48"/>
      <c r="E34" s="48"/>
      <c r="F34" s="83"/>
    </row>
    <row r="35" spans="2:6" x14ac:dyDescent="0.25">
      <c r="B35" s="48"/>
      <c r="C35" s="48"/>
      <c r="D35" s="48"/>
      <c r="E35" s="48"/>
      <c r="F35" s="83"/>
    </row>
    <row r="36" spans="2:6" x14ac:dyDescent="0.25">
      <c r="B36" s="48"/>
      <c r="C36" s="48"/>
      <c r="D36" s="48"/>
      <c r="E36" s="48"/>
      <c r="F36" s="83"/>
    </row>
    <row r="37" spans="2:6" x14ac:dyDescent="0.25">
      <c r="B37" s="48"/>
      <c r="C37" s="48"/>
      <c r="D37" s="48"/>
      <c r="E37" s="48"/>
      <c r="F37" s="83"/>
    </row>
    <row r="38" spans="2:6" x14ac:dyDescent="0.25">
      <c r="B38" s="48"/>
      <c r="C38" s="48"/>
      <c r="D38" s="48"/>
      <c r="E38" s="48"/>
      <c r="F38" s="83"/>
    </row>
    <row r="39" spans="2:6" x14ac:dyDescent="0.25">
      <c r="B39" s="48"/>
      <c r="C39" s="48"/>
      <c r="D39" s="48"/>
      <c r="E39" s="48"/>
      <c r="F39" s="83"/>
    </row>
    <row r="40" spans="2:6" x14ac:dyDescent="0.25">
      <c r="B40" s="48"/>
      <c r="C40" s="48"/>
      <c r="D40" s="48"/>
      <c r="E40" s="48"/>
      <c r="F40" s="83"/>
    </row>
    <row r="41" spans="2:6" x14ac:dyDescent="0.25">
      <c r="B41" s="48"/>
      <c r="C41" s="48"/>
      <c r="D41" s="48"/>
      <c r="E41" s="48"/>
      <c r="F41" s="83"/>
    </row>
    <row r="42" spans="2:6" x14ac:dyDescent="0.25">
      <c r="B42" s="48"/>
      <c r="C42" s="48"/>
      <c r="D42" s="48"/>
      <c r="E42" s="48"/>
      <c r="F42" s="83"/>
    </row>
    <row r="43" spans="2:6" x14ac:dyDescent="0.25">
      <c r="B43" s="48"/>
      <c r="C43" s="48"/>
      <c r="D43" s="48"/>
      <c r="E43" s="48"/>
      <c r="F43" s="83"/>
    </row>
    <row r="44" spans="2:6" x14ac:dyDescent="0.25">
      <c r="B44" s="48"/>
      <c r="C44" s="48"/>
      <c r="D44" s="48"/>
      <c r="E44" s="48"/>
      <c r="F44" s="83"/>
    </row>
    <row r="45" spans="2:6" x14ac:dyDescent="0.25">
      <c r="B45" s="48"/>
      <c r="C45" s="48"/>
      <c r="D45" s="48"/>
      <c r="E45" s="48"/>
      <c r="F45" s="83"/>
    </row>
    <row r="46" spans="2:6" x14ac:dyDescent="0.25">
      <c r="B46" s="48"/>
      <c r="C46" s="48"/>
      <c r="D46" s="48"/>
      <c r="E46" s="48"/>
      <c r="F46" s="83"/>
    </row>
    <row r="47" spans="2:6" x14ac:dyDescent="0.25">
      <c r="B47" s="48"/>
      <c r="C47" s="48"/>
      <c r="D47" s="48"/>
      <c r="E47" s="48"/>
      <c r="F47" s="83"/>
    </row>
    <row r="48" spans="2:6" x14ac:dyDescent="0.25">
      <c r="B48" s="48"/>
      <c r="C48" s="48"/>
      <c r="D48" s="48"/>
      <c r="E48" s="48"/>
      <c r="F48" s="83"/>
    </row>
    <row r="49" spans="2:6" x14ac:dyDescent="0.25">
      <c r="B49" s="48"/>
      <c r="C49" s="48"/>
      <c r="D49" s="48"/>
      <c r="E49" s="48"/>
      <c r="F49" s="83"/>
    </row>
    <row r="50" spans="2:6" x14ac:dyDescent="0.25">
      <c r="B50" s="48"/>
      <c r="C50" s="48"/>
      <c r="D50" s="48"/>
      <c r="E50" s="48"/>
      <c r="F50" s="83"/>
    </row>
    <row r="51" spans="2:6" x14ac:dyDescent="0.25">
      <c r="B51" s="48"/>
      <c r="C51" s="48"/>
      <c r="D51" s="48"/>
      <c r="E51" s="48"/>
      <c r="F51" s="83"/>
    </row>
    <row r="52" spans="2:6" x14ac:dyDescent="0.25">
      <c r="B52" s="48"/>
      <c r="C52" s="48"/>
      <c r="D52" s="48"/>
      <c r="E52" s="48"/>
      <c r="F52" s="83"/>
    </row>
    <row r="53" spans="2:6" x14ac:dyDescent="0.25">
      <c r="B53" s="48"/>
      <c r="C53" s="48"/>
      <c r="D53" s="48"/>
      <c r="E53" s="48"/>
      <c r="F53" s="83"/>
    </row>
    <row r="54" spans="2:6" x14ac:dyDescent="0.25">
      <c r="B54" s="48"/>
      <c r="C54" s="48"/>
      <c r="D54" s="48"/>
      <c r="E54" s="48"/>
      <c r="F54" s="83"/>
    </row>
    <row r="55" spans="2:6" x14ac:dyDescent="0.25">
      <c r="B55" s="48"/>
      <c r="C55" s="48"/>
      <c r="D55" s="48"/>
      <c r="E55" s="48"/>
      <c r="F55" s="83"/>
    </row>
    <row r="56" spans="2:6" x14ac:dyDescent="0.25">
      <c r="B56" s="48"/>
      <c r="C56" s="48"/>
      <c r="D56" s="48"/>
      <c r="E56" s="48"/>
      <c r="F56" s="83"/>
    </row>
    <row r="57" spans="2:6" x14ac:dyDescent="0.25">
      <c r="B57" s="48"/>
      <c r="C57" s="48"/>
      <c r="D57" s="48"/>
      <c r="E57" s="48"/>
      <c r="F57" s="83"/>
    </row>
    <row r="58" spans="2:6" x14ac:dyDescent="0.25">
      <c r="B58" s="48"/>
      <c r="C58" s="48"/>
      <c r="D58" s="48"/>
      <c r="E58" s="48"/>
      <c r="F58" s="83"/>
    </row>
    <row r="59" spans="2:6" x14ac:dyDescent="0.25">
      <c r="B59" s="48"/>
      <c r="C59" s="48"/>
      <c r="D59" s="48"/>
      <c r="E59" s="48"/>
      <c r="F59" s="83"/>
    </row>
    <row r="60" spans="2:6" x14ac:dyDescent="0.25">
      <c r="B60" s="48"/>
      <c r="C60" s="48"/>
      <c r="D60" s="48"/>
      <c r="E60" s="48"/>
      <c r="F60" s="83"/>
    </row>
    <row r="61" spans="2:6" x14ac:dyDescent="0.25">
      <c r="B61" s="48"/>
      <c r="C61" s="48"/>
      <c r="D61" s="48"/>
      <c r="E61" s="48"/>
      <c r="F61" s="83"/>
    </row>
    <row r="62" spans="2:6" x14ac:dyDescent="0.25">
      <c r="B62" s="48"/>
      <c r="C62" s="48"/>
      <c r="D62" s="48"/>
      <c r="E62" s="48"/>
      <c r="F62" s="83"/>
    </row>
    <row r="63" spans="2:6" x14ac:dyDescent="0.25">
      <c r="B63" s="48"/>
      <c r="C63" s="48"/>
      <c r="D63" s="48"/>
      <c r="E63" s="48"/>
      <c r="F63" s="83"/>
    </row>
    <row r="64" spans="2:6" x14ac:dyDescent="0.25">
      <c r="B64" s="48"/>
      <c r="C64" s="48"/>
      <c r="D64" s="48"/>
      <c r="E64" s="48"/>
      <c r="F64" s="83"/>
    </row>
    <row r="65" spans="2:6" x14ac:dyDescent="0.25">
      <c r="B65" s="48"/>
      <c r="C65" s="48"/>
      <c r="D65" s="48"/>
      <c r="E65" s="48"/>
      <c r="F65" s="83"/>
    </row>
    <row r="66" spans="2:6" x14ac:dyDescent="0.25">
      <c r="B66" s="48"/>
      <c r="C66" s="48"/>
      <c r="D66" s="48"/>
      <c r="E66" s="48"/>
      <c r="F66" s="83"/>
    </row>
    <row r="67" spans="2:6" x14ac:dyDescent="0.25">
      <c r="B67" s="48"/>
      <c r="C67" s="48"/>
      <c r="D67" s="48"/>
      <c r="E67" s="48"/>
      <c r="F67" s="83"/>
    </row>
    <row r="68" spans="2:6" x14ac:dyDescent="0.25">
      <c r="B68" s="48"/>
      <c r="C68" s="48"/>
      <c r="D68" s="48"/>
      <c r="E68" s="48"/>
      <c r="F68" s="83"/>
    </row>
    <row r="69" spans="2:6" x14ac:dyDescent="0.25">
      <c r="B69" s="48"/>
      <c r="C69" s="48"/>
      <c r="D69" s="48"/>
      <c r="E69" s="48"/>
      <c r="F69" s="83"/>
    </row>
    <row r="70" spans="2:6" x14ac:dyDescent="0.25">
      <c r="B70" s="48"/>
      <c r="C70" s="48"/>
      <c r="D70" s="48"/>
      <c r="E70" s="48"/>
      <c r="F70" s="83"/>
    </row>
    <row r="71" spans="2:6" x14ac:dyDescent="0.25">
      <c r="B71" s="48"/>
      <c r="C71" s="48"/>
      <c r="D71" s="48"/>
      <c r="E71" s="48"/>
      <c r="F71" s="83"/>
    </row>
    <row r="72" spans="2:6" x14ac:dyDescent="0.25">
      <c r="B72" s="48"/>
      <c r="C72" s="48"/>
      <c r="D72" s="48"/>
      <c r="E72" s="48"/>
      <c r="F72" s="83"/>
    </row>
    <row r="73" spans="2:6" x14ac:dyDescent="0.25">
      <c r="B73" s="48"/>
      <c r="C73" s="48"/>
      <c r="D73" s="48"/>
      <c r="E73" s="48"/>
      <c r="F73" s="83"/>
    </row>
    <row r="74" spans="2:6" x14ac:dyDescent="0.25">
      <c r="B74" s="48"/>
      <c r="C74" s="48"/>
      <c r="D74" s="48"/>
      <c r="E74" s="48"/>
      <c r="F74" s="83"/>
    </row>
    <row r="75" spans="2:6" x14ac:dyDescent="0.25">
      <c r="B75" s="48"/>
      <c r="C75" s="48"/>
      <c r="D75" s="48"/>
      <c r="E75" s="48"/>
      <c r="F75" s="83"/>
    </row>
    <row r="76" spans="2:6" x14ac:dyDescent="0.25">
      <c r="B76" s="48"/>
      <c r="C76" s="48"/>
      <c r="D76" s="48"/>
      <c r="E76" s="48"/>
      <c r="F76" s="83"/>
    </row>
    <row r="77" spans="2:6" x14ac:dyDescent="0.25">
      <c r="B77" s="48"/>
      <c r="C77" s="48"/>
      <c r="D77" s="48"/>
      <c r="E77" s="48"/>
      <c r="F77" s="83"/>
    </row>
    <row r="78" spans="2:6" x14ac:dyDescent="0.25">
      <c r="B78" s="48"/>
      <c r="C78" s="48"/>
      <c r="D78" s="48"/>
      <c r="E78" s="48"/>
      <c r="F78" s="83"/>
    </row>
    <row r="79" spans="2:6" x14ac:dyDescent="0.25">
      <c r="B79" s="48"/>
      <c r="C79" s="48"/>
      <c r="D79" s="48"/>
      <c r="E79" s="48"/>
      <c r="F79" s="83"/>
    </row>
    <row r="80" spans="2:6" x14ac:dyDescent="0.25">
      <c r="B80" s="48"/>
      <c r="C80" s="48"/>
      <c r="D80" s="48"/>
      <c r="E80" s="48"/>
      <c r="F80" s="83"/>
    </row>
    <row r="81" spans="2:6" x14ac:dyDescent="0.25">
      <c r="B81" s="48"/>
      <c r="C81" s="48"/>
      <c r="D81" s="48"/>
      <c r="E81" s="48"/>
      <c r="F81" s="83"/>
    </row>
    <row r="82" spans="2:6" x14ac:dyDescent="0.25">
      <c r="B82" s="48"/>
      <c r="C82" s="48"/>
      <c r="D82" s="48"/>
      <c r="E82" s="48"/>
      <c r="F82" s="83"/>
    </row>
    <row r="83" spans="2:6" x14ac:dyDescent="0.25">
      <c r="B83" s="48"/>
      <c r="C83" s="48"/>
      <c r="D83" s="48"/>
      <c r="E83" s="48"/>
      <c r="F83" s="83"/>
    </row>
    <row r="84" spans="2:6" x14ac:dyDescent="0.25">
      <c r="B84" s="48"/>
      <c r="C84" s="48"/>
      <c r="D84" s="48"/>
      <c r="E84" s="48"/>
      <c r="F84" s="83"/>
    </row>
    <row r="85" spans="2:6" x14ac:dyDescent="0.25">
      <c r="B85" s="48"/>
      <c r="C85" s="48"/>
      <c r="D85" s="48"/>
      <c r="E85" s="48"/>
      <c r="F85" s="83"/>
    </row>
    <row r="86" spans="2:6" x14ac:dyDescent="0.25">
      <c r="B86" s="48"/>
      <c r="C86" s="48"/>
      <c r="D86" s="48"/>
      <c r="E86" s="48"/>
      <c r="F86" s="83"/>
    </row>
    <row r="87" spans="2:6" x14ac:dyDescent="0.25">
      <c r="B87" s="48"/>
      <c r="C87" s="48"/>
      <c r="D87" s="48"/>
      <c r="E87" s="48"/>
      <c r="F87" s="83"/>
    </row>
    <row r="88" spans="2:6" x14ac:dyDescent="0.25">
      <c r="B88" s="48"/>
      <c r="C88" s="48"/>
      <c r="D88" s="48"/>
      <c r="E88" s="48"/>
      <c r="F88" s="83"/>
    </row>
    <row r="89" spans="2:6" x14ac:dyDescent="0.25">
      <c r="B89" s="48"/>
      <c r="C89" s="48"/>
      <c r="D89" s="48"/>
      <c r="E89" s="48"/>
      <c r="F89" s="83"/>
    </row>
    <row r="90" spans="2:6" x14ac:dyDescent="0.25">
      <c r="B90" s="48"/>
      <c r="C90" s="48"/>
      <c r="D90" s="48"/>
      <c r="E90" s="48"/>
      <c r="F90" s="83"/>
    </row>
    <row r="91" spans="2:6" x14ac:dyDescent="0.25">
      <c r="B91" s="48"/>
      <c r="C91" s="48"/>
      <c r="D91" s="48"/>
      <c r="E91" s="48"/>
      <c r="F91" s="83"/>
    </row>
    <row r="92" spans="2:6" x14ac:dyDescent="0.25">
      <c r="B92" s="48"/>
      <c r="C92" s="48"/>
      <c r="D92" s="48"/>
      <c r="E92" s="48"/>
      <c r="F92" s="83"/>
    </row>
    <row r="93" spans="2:6" x14ac:dyDescent="0.25">
      <c r="B93" s="48"/>
      <c r="C93" s="48"/>
      <c r="D93" s="48"/>
      <c r="E93" s="48"/>
      <c r="F93" s="83"/>
    </row>
    <row r="94" spans="2:6" x14ac:dyDescent="0.25">
      <c r="B94" s="48"/>
      <c r="C94" s="48"/>
      <c r="D94" s="48"/>
      <c r="E94" s="48"/>
      <c r="F94" s="83"/>
    </row>
    <row r="95" spans="2:6" x14ac:dyDescent="0.25">
      <c r="B95" s="48"/>
      <c r="C95" s="48"/>
      <c r="D95" s="48"/>
      <c r="E95" s="48"/>
      <c r="F95" s="83"/>
    </row>
    <row r="96" spans="2:6" x14ac:dyDescent="0.25">
      <c r="B96" s="48"/>
      <c r="C96" s="48"/>
      <c r="D96" s="48"/>
      <c r="E96" s="48"/>
      <c r="F96" s="83"/>
    </row>
    <row r="97" spans="2:6" x14ac:dyDescent="0.25">
      <c r="B97" s="48"/>
      <c r="C97" s="48"/>
      <c r="D97" s="48"/>
      <c r="E97" s="48"/>
      <c r="F97" s="83"/>
    </row>
    <row r="98" spans="2:6" x14ac:dyDescent="0.25">
      <c r="B98" s="48"/>
      <c r="C98" s="48"/>
      <c r="D98" s="48"/>
      <c r="E98" s="48"/>
      <c r="F98" s="83"/>
    </row>
    <row r="99" spans="2:6" x14ac:dyDescent="0.25">
      <c r="B99" s="48"/>
      <c r="C99" s="48"/>
      <c r="D99" s="48"/>
      <c r="E99" s="48"/>
      <c r="F99" s="83"/>
    </row>
    <row r="100" spans="2:6" x14ac:dyDescent="0.25">
      <c r="B100" s="48"/>
      <c r="C100" s="48"/>
      <c r="D100" s="48"/>
      <c r="E100" s="48"/>
      <c r="F100" s="8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8"/>
  <dimension ref="A1:L22"/>
  <sheetViews>
    <sheetView workbookViewId="0">
      <selection activeCell="P32" sqref="P32"/>
    </sheetView>
  </sheetViews>
  <sheetFormatPr defaultRowHeight="15" x14ac:dyDescent="0.25"/>
  <cols>
    <col min="1" max="1" width="9.140625" style="39"/>
    <col min="2" max="16384" width="9.140625" style="3"/>
  </cols>
  <sheetData>
    <row r="1" spans="1:12" s="39" customFormat="1" ht="15.75" thickBot="1" x14ac:dyDescent="0.3">
      <c r="B1" s="81" t="s">
        <v>15</v>
      </c>
      <c r="C1" s="81" t="s">
        <v>16</v>
      </c>
      <c r="D1" s="81" t="s">
        <v>17</v>
      </c>
      <c r="E1" s="81" t="s">
        <v>18</v>
      </c>
      <c r="F1" s="81" t="s">
        <v>19</v>
      </c>
      <c r="G1" s="81" t="s">
        <v>20</v>
      </c>
      <c r="H1" s="81" t="s">
        <v>21</v>
      </c>
      <c r="I1" s="81" t="s">
        <v>22</v>
      </c>
      <c r="J1" s="81" t="s">
        <v>23</v>
      </c>
      <c r="K1" s="81" t="s">
        <v>325</v>
      </c>
    </row>
    <row r="2" spans="1:12" x14ac:dyDescent="0.25">
      <c r="A2" s="80" t="s">
        <v>326</v>
      </c>
      <c r="B2" s="71">
        <v>1</v>
      </c>
      <c r="C2" s="72">
        <v>0</v>
      </c>
      <c r="D2" s="72">
        <v>0</v>
      </c>
      <c r="E2" s="72">
        <v>0</v>
      </c>
      <c r="F2" s="72">
        <v>0</v>
      </c>
      <c r="G2" s="72">
        <v>0</v>
      </c>
      <c r="H2" s="72">
        <v>0</v>
      </c>
      <c r="I2" s="72">
        <v>1</v>
      </c>
      <c r="J2" s="72">
        <v>0</v>
      </c>
      <c r="K2" s="73">
        <v>0</v>
      </c>
      <c r="L2" s="29"/>
    </row>
    <row r="3" spans="1:12" x14ac:dyDescent="0.25">
      <c r="A3" s="80" t="s">
        <v>327</v>
      </c>
      <c r="B3" s="74">
        <v>1</v>
      </c>
      <c r="C3" s="75">
        <v>0</v>
      </c>
      <c r="D3" s="75">
        <v>0</v>
      </c>
      <c r="E3" s="75">
        <v>0</v>
      </c>
      <c r="F3" s="75">
        <v>0</v>
      </c>
      <c r="G3" s="75">
        <v>0</v>
      </c>
      <c r="H3" s="75">
        <v>0</v>
      </c>
      <c r="I3" s="75">
        <v>1</v>
      </c>
      <c r="J3" s="75">
        <v>0</v>
      </c>
      <c r="K3" s="76">
        <v>0</v>
      </c>
      <c r="L3" s="29"/>
    </row>
    <row r="4" spans="1:12" x14ac:dyDescent="0.25">
      <c r="A4" s="80" t="s">
        <v>328</v>
      </c>
      <c r="B4" s="74">
        <v>1</v>
      </c>
      <c r="C4" s="75">
        <v>0</v>
      </c>
      <c r="D4" s="75">
        <v>0</v>
      </c>
      <c r="E4" s="75">
        <v>0</v>
      </c>
      <c r="F4" s="75">
        <v>0</v>
      </c>
      <c r="G4" s="75">
        <v>0</v>
      </c>
      <c r="H4" s="75">
        <v>1</v>
      </c>
      <c r="I4" s="75">
        <v>1</v>
      </c>
      <c r="J4" s="75">
        <v>0</v>
      </c>
      <c r="K4" s="76">
        <v>0</v>
      </c>
      <c r="L4" s="29"/>
    </row>
    <row r="5" spans="1:12" x14ac:dyDescent="0.25">
      <c r="A5" s="80" t="s">
        <v>329</v>
      </c>
      <c r="B5" s="74">
        <v>1</v>
      </c>
      <c r="C5" s="75">
        <v>0</v>
      </c>
      <c r="D5" s="75">
        <v>0</v>
      </c>
      <c r="E5" s="75">
        <v>0</v>
      </c>
      <c r="F5" s="75">
        <v>0</v>
      </c>
      <c r="G5" s="75">
        <v>0</v>
      </c>
      <c r="H5" s="75">
        <v>1</v>
      </c>
      <c r="I5" s="75">
        <v>1</v>
      </c>
      <c r="J5" s="75">
        <v>0</v>
      </c>
      <c r="K5" s="76">
        <v>0</v>
      </c>
      <c r="L5" s="29"/>
    </row>
    <row r="6" spans="1:12" x14ac:dyDescent="0.25">
      <c r="A6" s="80" t="s">
        <v>330</v>
      </c>
      <c r="B6" s="74">
        <v>1</v>
      </c>
      <c r="C6" s="75">
        <v>0</v>
      </c>
      <c r="D6" s="75">
        <v>0</v>
      </c>
      <c r="E6" s="75">
        <v>0</v>
      </c>
      <c r="F6" s="75">
        <v>0</v>
      </c>
      <c r="G6" s="75">
        <v>0</v>
      </c>
      <c r="H6" s="75">
        <v>1</v>
      </c>
      <c r="I6" s="75">
        <v>1</v>
      </c>
      <c r="J6" s="75">
        <v>0</v>
      </c>
      <c r="K6" s="76">
        <v>0</v>
      </c>
      <c r="L6" s="29"/>
    </row>
    <row r="7" spans="1:12" x14ac:dyDescent="0.25">
      <c r="A7" s="80" t="s">
        <v>331</v>
      </c>
      <c r="B7" s="74">
        <v>1</v>
      </c>
      <c r="C7" s="75">
        <v>0</v>
      </c>
      <c r="D7" s="75">
        <v>0</v>
      </c>
      <c r="E7" s="75">
        <v>0</v>
      </c>
      <c r="F7" s="75">
        <v>0</v>
      </c>
      <c r="G7" s="75">
        <v>0</v>
      </c>
      <c r="H7" s="75">
        <v>1</v>
      </c>
      <c r="I7" s="75">
        <v>1</v>
      </c>
      <c r="J7" s="75">
        <v>0</v>
      </c>
      <c r="K7" s="76">
        <v>0</v>
      </c>
      <c r="L7" s="29"/>
    </row>
    <row r="8" spans="1:12" x14ac:dyDescent="0.25">
      <c r="A8" s="80" t="s">
        <v>332</v>
      </c>
      <c r="B8" s="74">
        <v>1</v>
      </c>
      <c r="C8" s="75">
        <v>0</v>
      </c>
      <c r="D8" s="75">
        <v>0</v>
      </c>
      <c r="E8" s="75">
        <v>0</v>
      </c>
      <c r="F8" s="75">
        <v>0</v>
      </c>
      <c r="G8" s="75">
        <v>0</v>
      </c>
      <c r="H8" s="75">
        <v>1</v>
      </c>
      <c r="I8" s="75">
        <v>1</v>
      </c>
      <c r="J8" s="75">
        <v>0</v>
      </c>
      <c r="K8" s="76">
        <v>0</v>
      </c>
      <c r="L8" s="29"/>
    </row>
    <row r="9" spans="1:12" x14ac:dyDescent="0.25">
      <c r="A9" s="80" t="s">
        <v>333</v>
      </c>
      <c r="B9" s="74">
        <v>0</v>
      </c>
      <c r="C9" s="75">
        <v>0</v>
      </c>
      <c r="D9" s="75">
        <v>0</v>
      </c>
      <c r="E9" s="75">
        <v>0</v>
      </c>
      <c r="F9" s="75">
        <v>0</v>
      </c>
      <c r="G9" s="75">
        <v>0</v>
      </c>
      <c r="H9" s="75">
        <v>1</v>
      </c>
      <c r="I9" s="75">
        <v>1</v>
      </c>
      <c r="J9" s="75">
        <v>0</v>
      </c>
      <c r="K9" s="76">
        <v>0</v>
      </c>
      <c r="L9" s="29"/>
    </row>
    <row r="10" spans="1:12" x14ac:dyDescent="0.25">
      <c r="A10" s="80" t="s">
        <v>334</v>
      </c>
      <c r="B10" s="74">
        <v>0</v>
      </c>
      <c r="C10" s="75">
        <v>0</v>
      </c>
      <c r="D10" s="75">
        <v>0</v>
      </c>
      <c r="E10" s="75">
        <v>0</v>
      </c>
      <c r="F10" s="75">
        <v>0</v>
      </c>
      <c r="G10" s="75">
        <v>0</v>
      </c>
      <c r="H10" s="75">
        <v>0</v>
      </c>
      <c r="I10" s="75">
        <v>0</v>
      </c>
      <c r="J10" s="75">
        <v>0</v>
      </c>
      <c r="K10" s="76">
        <v>0</v>
      </c>
      <c r="L10" s="29"/>
    </row>
    <row r="11" spans="1:12" x14ac:dyDescent="0.25">
      <c r="A11" s="80" t="s">
        <v>335</v>
      </c>
      <c r="B11" s="74">
        <v>0</v>
      </c>
      <c r="C11" s="75">
        <v>0</v>
      </c>
      <c r="D11" s="75">
        <v>0</v>
      </c>
      <c r="E11" s="75">
        <v>0</v>
      </c>
      <c r="F11" s="75">
        <v>0</v>
      </c>
      <c r="G11" s="75">
        <v>0</v>
      </c>
      <c r="H11" s="75">
        <v>0</v>
      </c>
      <c r="I11" s="75">
        <v>0</v>
      </c>
      <c r="J11" s="75">
        <v>0</v>
      </c>
      <c r="K11" s="76">
        <v>0</v>
      </c>
      <c r="L11" s="29"/>
    </row>
    <row r="12" spans="1:12" x14ac:dyDescent="0.25">
      <c r="A12" s="80" t="s">
        <v>336</v>
      </c>
      <c r="B12" s="74">
        <v>0</v>
      </c>
      <c r="C12" s="75">
        <v>0</v>
      </c>
      <c r="D12" s="75">
        <v>0</v>
      </c>
      <c r="E12" s="75">
        <v>0</v>
      </c>
      <c r="F12" s="75">
        <v>0</v>
      </c>
      <c r="G12" s="75">
        <v>0</v>
      </c>
      <c r="H12" s="75">
        <v>0</v>
      </c>
      <c r="I12" s="75">
        <v>0</v>
      </c>
      <c r="J12" s="75">
        <v>0</v>
      </c>
      <c r="K12" s="76">
        <v>0</v>
      </c>
      <c r="L12" s="29"/>
    </row>
    <row r="13" spans="1:12" x14ac:dyDescent="0.25">
      <c r="A13" s="80" t="s">
        <v>337</v>
      </c>
      <c r="B13" s="74">
        <v>0</v>
      </c>
      <c r="C13" s="75">
        <v>0</v>
      </c>
      <c r="D13" s="75">
        <v>0</v>
      </c>
      <c r="E13" s="75">
        <v>0</v>
      </c>
      <c r="F13" s="75">
        <v>0</v>
      </c>
      <c r="G13" s="75">
        <v>0</v>
      </c>
      <c r="H13" s="75">
        <v>0</v>
      </c>
      <c r="I13" s="75">
        <v>0</v>
      </c>
      <c r="J13" s="75">
        <v>0</v>
      </c>
      <c r="K13" s="76">
        <v>0</v>
      </c>
      <c r="L13" s="29"/>
    </row>
    <row r="14" spans="1:12" x14ac:dyDescent="0.25">
      <c r="A14" s="80" t="s">
        <v>338</v>
      </c>
      <c r="B14" s="74">
        <v>0</v>
      </c>
      <c r="C14" s="75">
        <v>0</v>
      </c>
      <c r="D14" s="75">
        <v>0</v>
      </c>
      <c r="E14" s="75">
        <v>0</v>
      </c>
      <c r="F14" s="75">
        <v>0</v>
      </c>
      <c r="G14" s="75">
        <v>0</v>
      </c>
      <c r="H14" s="75">
        <v>0</v>
      </c>
      <c r="I14" s="75">
        <v>0</v>
      </c>
      <c r="J14" s="75">
        <v>0</v>
      </c>
      <c r="K14" s="76">
        <v>0</v>
      </c>
      <c r="L14" s="29"/>
    </row>
    <row r="15" spans="1:12" x14ac:dyDescent="0.25">
      <c r="A15" s="80" t="s">
        <v>339</v>
      </c>
      <c r="B15" s="74">
        <v>0</v>
      </c>
      <c r="C15" s="75">
        <v>0</v>
      </c>
      <c r="D15" s="75">
        <v>0</v>
      </c>
      <c r="E15" s="75">
        <v>0</v>
      </c>
      <c r="F15" s="75">
        <v>0</v>
      </c>
      <c r="G15" s="75">
        <v>0</v>
      </c>
      <c r="H15" s="75">
        <v>0</v>
      </c>
      <c r="I15" s="75">
        <v>0</v>
      </c>
      <c r="J15" s="75">
        <v>0</v>
      </c>
      <c r="K15" s="76">
        <v>0</v>
      </c>
      <c r="L15" s="29"/>
    </row>
    <row r="16" spans="1:12" x14ac:dyDescent="0.25">
      <c r="A16" s="80" t="s">
        <v>340</v>
      </c>
      <c r="B16" s="74">
        <v>0</v>
      </c>
      <c r="C16" s="75">
        <v>0</v>
      </c>
      <c r="D16" s="75">
        <v>0</v>
      </c>
      <c r="E16" s="75">
        <v>0</v>
      </c>
      <c r="F16" s="75">
        <v>0</v>
      </c>
      <c r="G16" s="75">
        <v>0</v>
      </c>
      <c r="H16" s="75">
        <v>0</v>
      </c>
      <c r="I16" s="75">
        <v>0</v>
      </c>
      <c r="J16" s="75">
        <v>0</v>
      </c>
      <c r="K16" s="76">
        <v>0</v>
      </c>
      <c r="L16" s="29"/>
    </row>
    <row r="17" spans="1:12" x14ac:dyDescent="0.25">
      <c r="A17" s="80" t="s">
        <v>341</v>
      </c>
      <c r="B17" s="74">
        <v>0</v>
      </c>
      <c r="C17" s="75">
        <v>0</v>
      </c>
      <c r="D17" s="75">
        <v>0</v>
      </c>
      <c r="E17" s="75">
        <v>0</v>
      </c>
      <c r="F17" s="75">
        <v>0</v>
      </c>
      <c r="G17" s="75">
        <v>0</v>
      </c>
      <c r="H17" s="75">
        <v>0</v>
      </c>
      <c r="I17" s="75">
        <v>0</v>
      </c>
      <c r="J17" s="75">
        <v>0</v>
      </c>
      <c r="K17" s="76">
        <v>0</v>
      </c>
      <c r="L17" s="29"/>
    </row>
    <row r="18" spans="1:12" x14ac:dyDescent="0.25">
      <c r="A18" s="80" t="s">
        <v>342</v>
      </c>
      <c r="B18" s="74">
        <v>0</v>
      </c>
      <c r="C18" s="75">
        <v>0</v>
      </c>
      <c r="D18" s="75">
        <v>0</v>
      </c>
      <c r="E18" s="75">
        <v>0</v>
      </c>
      <c r="F18" s="75">
        <v>0</v>
      </c>
      <c r="G18" s="75">
        <v>0</v>
      </c>
      <c r="H18" s="75">
        <v>0</v>
      </c>
      <c r="I18" s="75">
        <v>0</v>
      </c>
      <c r="J18" s="75">
        <v>0</v>
      </c>
      <c r="K18" s="76">
        <v>0</v>
      </c>
      <c r="L18" s="29"/>
    </row>
    <row r="19" spans="1:12" x14ac:dyDescent="0.25">
      <c r="A19" s="80" t="s">
        <v>343</v>
      </c>
      <c r="B19" s="74">
        <v>0</v>
      </c>
      <c r="C19" s="75">
        <v>0</v>
      </c>
      <c r="D19" s="75">
        <v>0</v>
      </c>
      <c r="E19" s="75">
        <v>0</v>
      </c>
      <c r="F19" s="75">
        <v>0</v>
      </c>
      <c r="G19" s="75">
        <v>0</v>
      </c>
      <c r="H19" s="75">
        <v>0</v>
      </c>
      <c r="I19" s="75">
        <v>0</v>
      </c>
      <c r="J19" s="75">
        <v>0</v>
      </c>
      <c r="K19" s="76">
        <v>0</v>
      </c>
      <c r="L19" s="29"/>
    </row>
    <row r="20" spans="1:12" x14ac:dyDescent="0.25">
      <c r="A20" s="80" t="s">
        <v>344</v>
      </c>
      <c r="B20" s="74">
        <v>0</v>
      </c>
      <c r="C20" s="75">
        <v>0</v>
      </c>
      <c r="D20" s="75">
        <v>0</v>
      </c>
      <c r="E20" s="75">
        <v>0</v>
      </c>
      <c r="F20" s="75">
        <v>0</v>
      </c>
      <c r="G20" s="75">
        <v>0</v>
      </c>
      <c r="H20" s="75">
        <v>0</v>
      </c>
      <c r="I20" s="75">
        <v>0</v>
      </c>
      <c r="J20" s="75">
        <v>0</v>
      </c>
      <c r="K20" s="76">
        <v>0</v>
      </c>
      <c r="L20" s="29"/>
    </row>
    <row r="21" spans="1:12" ht="15.75" thickBot="1" x14ac:dyDescent="0.3">
      <c r="A21" s="80" t="s">
        <v>345</v>
      </c>
      <c r="B21" s="77">
        <v>0</v>
      </c>
      <c r="C21" s="78">
        <v>0</v>
      </c>
      <c r="D21" s="78">
        <v>0</v>
      </c>
      <c r="E21" s="78">
        <v>0</v>
      </c>
      <c r="F21" s="78">
        <v>0</v>
      </c>
      <c r="G21" s="78">
        <v>0</v>
      </c>
      <c r="H21" s="78">
        <v>0</v>
      </c>
      <c r="I21" s="78">
        <v>0</v>
      </c>
      <c r="J21" s="78">
        <v>0</v>
      </c>
      <c r="K21" s="79">
        <v>0</v>
      </c>
      <c r="L21" s="29"/>
    </row>
    <row r="22" spans="1:12" x14ac:dyDescent="0.25">
      <c r="B22" s="70"/>
      <c r="C22" s="70"/>
      <c r="D22" s="70"/>
      <c r="E22" s="70"/>
      <c r="F22" s="70"/>
      <c r="G22" s="70"/>
      <c r="H22" s="70"/>
      <c r="I22" s="70"/>
      <c r="J22" s="70"/>
      <c r="K22" s="70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2"/>
  <dimension ref="A1:CW5"/>
  <sheetViews>
    <sheetView topLeftCell="CR1" workbookViewId="0">
      <selection activeCell="BH42" sqref="BH42"/>
    </sheetView>
  </sheetViews>
  <sheetFormatPr defaultRowHeight="15" x14ac:dyDescent="0.25"/>
  <cols>
    <col min="1" max="1" width="13.28515625" style="1" bestFit="1" customWidth="1"/>
    <col min="2" max="16384" width="9.140625" style="1"/>
  </cols>
  <sheetData>
    <row r="1" spans="1:101" s="3" customFormat="1" x14ac:dyDescent="0.25">
      <c r="A1" s="3" t="s">
        <v>319</v>
      </c>
    </row>
    <row r="2" spans="1:101" s="3" customFormat="1" x14ac:dyDescent="0.25">
      <c r="A2" s="3" t="s">
        <v>316</v>
      </c>
      <c r="B2" s="39">
        <v>38</v>
      </c>
      <c r="C2" s="39">
        <v>40</v>
      </c>
      <c r="D2" s="39">
        <v>40</v>
      </c>
      <c r="E2" s="39">
        <v>42</v>
      </c>
      <c r="F2" s="39">
        <v>42</v>
      </c>
      <c r="G2" s="39">
        <v>42</v>
      </c>
      <c r="H2" s="39">
        <v>43</v>
      </c>
      <c r="I2" s="39">
        <v>43</v>
      </c>
      <c r="J2" s="39">
        <v>43</v>
      </c>
      <c r="K2" s="39">
        <v>44</v>
      </c>
      <c r="L2" s="39">
        <v>44</v>
      </c>
      <c r="M2" s="39">
        <v>46</v>
      </c>
      <c r="N2" s="39">
        <v>48</v>
      </c>
      <c r="O2" s="39">
        <v>48</v>
      </c>
      <c r="P2" s="39">
        <v>48</v>
      </c>
      <c r="Q2" s="3">
        <v>48</v>
      </c>
      <c r="R2" s="3">
        <v>48</v>
      </c>
      <c r="S2" s="3">
        <v>49</v>
      </c>
      <c r="T2" s="3">
        <v>49</v>
      </c>
      <c r="U2" s="3">
        <v>51</v>
      </c>
      <c r="V2" s="3">
        <v>51</v>
      </c>
      <c r="W2" s="3">
        <v>56</v>
      </c>
      <c r="X2" s="3">
        <v>56</v>
      </c>
      <c r="Y2" s="3">
        <v>56</v>
      </c>
      <c r="Z2" s="3">
        <v>56</v>
      </c>
      <c r="AA2" s="3">
        <v>56</v>
      </c>
      <c r="AB2" s="3">
        <v>56</v>
      </c>
      <c r="AC2" s="3">
        <v>56</v>
      </c>
      <c r="AD2" s="3">
        <v>57</v>
      </c>
      <c r="AE2" s="3">
        <v>57</v>
      </c>
      <c r="AF2" s="3">
        <v>59</v>
      </c>
      <c r="AG2" s="3">
        <v>61</v>
      </c>
      <c r="AH2" s="3">
        <v>61</v>
      </c>
      <c r="AI2" s="3">
        <v>62</v>
      </c>
      <c r="AJ2" s="3">
        <v>62</v>
      </c>
      <c r="AK2" s="3">
        <v>62</v>
      </c>
      <c r="AL2" s="3">
        <v>62</v>
      </c>
      <c r="AM2" s="3">
        <v>62</v>
      </c>
      <c r="AN2" s="3">
        <v>64</v>
      </c>
      <c r="AO2" s="3">
        <v>65</v>
      </c>
      <c r="AP2" s="3">
        <v>65</v>
      </c>
      <c r="AQ2" s="3">
        <v>67</v>
      </c>
      <c r="AR2" s="3">
        <v>69</v>
      </c>
      <c r="AS2" s="3">
        <v>69</v>
      </c>
      <c r="AT2" s="3">
        <v>70</v>
      </c>
      <c r="AU2" s="3">
        <v>70</v>
      </c>
      <c r="AV2" s="3">
        <v>70</v>
      </c>
      <c r="AW2" s="3">
        <v>72</v>
      </c>
      <c r="AX2" s="3">
        <v>72</v>
      </c>
      <c r="AY2" s="3">
        <v>72</v>
      </c>
      <c r="AZ2" s="3">
        <v>72</v>
      </c>
      <c r="BA2" s="3">
        <v>75</v>
      </c>
      <c r="BB2" s="3">
        <v>75</v>
      </c>
      <c r="BC2" s="3">
        <v>75</v>
      </c>
      <c r="BD2" s="3">
        <v>75</v>
      </c>
      <c r="BE2" s="3">
        <v>75</v>
      </c>
      <c r="BF2" s="3">
        <v>78</v>
      </c>
      <c r="BG2" s="3">
        <v>78</v>
      </c>
      <c r="BH2" s="3">
        <v>78</v>
      </c>
      <c r="BI2" s="3">
        <v>78</v>
      </c>
      <c r="BJ2" s="3">
        <v>78</v>
      </c>
      <c r="BK2" s="3">
        <v>80</v>
      </c>
      <c r="BL2" s="3">
        <v>81</v>
      </c>
      <c r="BM2" s="3">
        <v>81</v>
      </c>
      <c r="BN2" s="3">
        <v>81</v>
      </c>
      <c r="BO2" s="3">
        <v>85</v>
      </c>
      <c r="BP2" s="3">
        <v>85</v>
      </c>
      <c r="BQ2" s="3">
        <v>85</v>
      </c>
      <c r="BR2" s="3">
        <v>86</v>
      </c>
      <c r="BS2" s="3">
        <v>86</v>
      </c>
      <c r="BT2" s="3">
        <v>86</v>
      </c>
      <c r="BU2" s="3">
        <v>88</v>
      </c>
      <c r="BV2" s="3">
        <v>88</v>
      </c>
      <c r="BW2" s="3">
        <v>89</v>
      </c>
      <c r="BX2" s="3">
        <v>91</v>
      </c>
      <c r="BY2" s="3">
        <v>91</v>
      </c>
      <c r="BZ2" s="3">
        <v>91</v>
      </c>
      <c r="CA2" s="3">
        <v>91</v>
      </c>
      <c r="CB2" s="3">
        <v>91</v>
      </c>
      <c r="CC2" s="3">
        <v>92</v>
      </c>
      <c r="CD2" s="3">
        <v>92</v>
      </c>
      <c r="CE2" s="3">
        <v>94</v>
      </c>
      <c r="CF2" s="3">
        <v>96</v>
      </c>
      <c r="CG2" s="3">
        <v>96</v>
      </c>
      <c r="CH2" s="3">
        <v>97</v>
      </c>
      <c r="CI2" s="3">
        <v>97</v>
      </c>
      <c r="CJ2" s="3">
        <v>97</v>
      </c>
      <c r="CK2" s="3">
        <v>97</v>
      </c>
      <c r="CL2" s="3">
        <v>99</v>
      </c>
      <c r="CM2" s="3">
        <v>99</v>
      </c>
      <c r="CN2" s="3">
        <v>99</v>
      </c>
      <c r="CO2" s="3">
        <v>104</v>
      </c>
      <c r="CP2" s="3">
        <v>104</v>
      </c>
      <c r="CQ2" s="3">
        <v>104</v>
      </c>
      <c r="CR2" s="3">
        <v>104</v>
      </c>
      <c r="CS2" s="3">
        <v>105</v>
      </c>
      <c r="CT2" s="3">
        <v>105</v>
      </c>
      <c r="CU2" s="3">
        <v>105</v>
      </c>
      <c r="CV2" s="3">
        <v>105</v>
      </c>
      <c r="CW2" s="3">
        <v>105</v>
      </c>
    </row>
    <row r="3" spans="1:101" s="3" customFormat="1" x14ac:dyDescent="0.25">
      <c r="A3" s="3" t="s">
        <v>317</v>
      </c>
      <c r="B3" s="3">
        <v>1067</v>
      </c>
      <c r="C3" s="3">
        <v>1067</v>
      </c>
      <c r="D3" s="3">
        <v>1067</v>
      </c>
      <c r="E3" s="3">
        <v>1067</v>
      </c>
      <c r="F3" s="3">
        <v>1067</v>
      </c>
      <c r="G3" s="3">
        <v>1067</v>
      </c>
      <c r="H3" s="3">
        <v>1067</v>
      </c>
      <c r="I3" s="3">
        <v>1067</v>
      </c>
      <c r="J3" s="3">
        <v>1067</v>
      </c>
      <c r="K3" s="3">
        <v>1067</v>
      </c>
      <c r="L3" s="3">
        <v>1067</v>
      </c>
      <c r="M3" s="3">
        <v>1067</v>
      </c>
      <c r="N3" s="3">
        <v>1067</v>
      </c>
      <c r="O3" s="3">
        <v>1067</v>
      </c>
      <c r="P3" s="3">
        <v>1067</v>
      </c>
      <c r="Q3" s="3">
        <v>1067</v>
      </c>
      <c r="R3" s="3">
        <v>1067</v>
      </c>
      <c r="S3" s="3">
        <v>1067</v>
      </c>
      <c r="T3" s="3">
        <v>1067</v>
      </c>
      <c r="U3" s="3">
        <v>1067</v>
      </c>
      <c r="V3" s="3">
        <v>1067</v>
      </c>
      <c r="W3" s="3">
        <v>1067</v>
      </c>
      <c r="X3" s="3">
        <v>1067</v>
      </c>
      <c r="Y3" s="3">
        <v>1067</v>
      </c>
      <c r="Z3" s="3">
        <v>1067</v>
      </c>
      <c r="AA3" s="3">
        <v>1067</v>
      </c>
      <c r="AB3" s="3">
        <v>1067</v>
      </c>
      <c r="AC3" s="3">
        <v>1067</v>
      </c>
      <c r="AD3" s="3">
        <v>1067</v>
      </c>
      <c r="AE3" s="3">
        <v>1067</v>
      </c>
      <c r="AF3" s="3">
        <v>1067</v>
      </c>
      <c r="AG3" s="3">
        <v>1067</v>
      </c>
      <c r="AH3" s="3">
        <v>1067</v>
      </c>
      <c r="AI3" s="3">
        <v>1067</v>
      </c>
      <c r="AJ3" s="3">
        <v>1067</v>
      </c>
      <c r="AK3" s="3">
        <v>1067</v>
      </c>
      <c r="AL3" s="3">
        <v>1067</v>
      </c>
      <c r="AM3" s="3">
        <v>1067</v>
      </c>
      <c r="AN3" s="3">
        <v>1067</v>
      </c>
      <c r="AO3" s="3">
        <v>1067</v>
      </c>
      <c r="AP3" s="3">
        <v>1067</v>
      </c>
      <c r="AQ3" s="3">
        <v>1067</v>
      </c>
      <c r="AR3" s="3">
        <v>1067</v>
      </c>
      <c r="AS3" s="3">
        <v>1067</v>
      </c>
      <c r="AT3" s="3">
        <v>1067</v>
      </c>
      <c r="AU3" s="3">
        <v>1067</v>
      </c>
      <c r="AV3" s="3">
        <v>1067</v>
      </c>
      <c r="AW3" s="3">
        <v>1067</v>
      </c>
      <c r="AX3" s="3">
        <v>1067</v>
      </c>
      <c r="AY3" s="3">
        <v>1067</v>
      </c>
      <c r="AZ3" s="3">
        <v>1067</v>
      </c>
      <c r="BA3" s="3">
        <v>1067</v>
      </c>
      <c r="BB3" s="3">
        <v>1067</v>
      </c>
      <c r="BC3" s="3">
        <v>1067</v>
      </c>
      <c r="BD3" s="3">
        <v>1067</v>
      </c>
      <c r="BE3" s="3">
        <v>1067</v>
      </c>
      <c r="BF3" s="3">
        <v>1067</v>
      </c>
      <c r="BG3" s="3">
        <v>1067</v>
      </c>
      <c r="BH3" s="3">
        <v>1067</v>
      </c>
      <c r="BI3" s="3">
        <v>1067</v>
      </c>
      <c r="BJ3" s="3">
        <v>1067</v>
      </c>
      <c r="BK3" s="3">
        <v>1067</v>
      </c>
      <c r="BL3" s="3">
        <v>1067</v>
      </c>
      <c r="BM3" s="3">
        <v>1067</v>
      </c>
      <c r="BN3" s="3">
        <v>1067</v>
      </c>
      <c r="BO3" s="3">
        <v>1067</v>
      </c>
      <c r="BP3" s="3">
        <v>1067</v>
      </c>
      <c r="BQ3" s="3">
        <v>1067</v>
      </c>
      <c r="BR3" s="3">
        <v>1067</v>
      </c>
      <c r="BS3" s="3">
        <v>1067</v>
      </c>
      <c r="BT3" s="3">
        <v>1067</v>
      </c>
      <c r="BU3" s="3">
        <v>1067</v>
      </c>
      <c r="BV3" s="3">
        <v>1067</v>
      </c>
      <c r="BW3" s="3">
        <v>1067</v>
      </c>
      <c r="BX3" s="3">
        <v>1067</v>
      </c>
      <c r="BY3" s="3">
        <v>1067</v>
      </c>
      <c r="BZ3" s="3">
        <v>1067</v>
      </c>
      <c r="CA3" s="3">
        <v>1067</v>
      </c>
      <c r="CB3" s="3">
        <v>1067</v>
      </c>
      <c r="CC3" s="3">
        <v>1067</v>
      </c>
      <c r="CD3" s="3">
        <v>1067</v>
      </c>
      <c r="CE3" s="3">
        <v>1067</v>
      </c>
      <c r="CF3" s="3">
        <v>1067</v>
      </c>
      <c r="CG3" s="3">
        <v>1067</v>
      </c>
      <c r="CH3" s="3">
        <v>1067</v>
      </c>
      <c r="CI3" s="3">
        <v>1067</v>
      </c>
      <c r="CJ3" s="3">
        <v>1067</v>
      </c>
      <c r="CK3" s="3">
        <v>1067</v>
      </c>
      <c r="CL3" s="3">
        <v>1067</v>
      </c>
      <c r="CM3" s="3">
        <v>1067</v>
      </c>
      <c r="CN3" s="3">
        <v>1067</v>
      </c>
      <c r="CO3" s="3">
        <v>1067</v>
      </c>
      <c r="CP3" s="3">
        <v>1067</v>
      </c>
      <c r="CQ3" s="3">
        <v>1067</v>
      </c>
      <c r="CR3" s="3">
        <v>1067</v>
      </c>
      <c r="CS3" s="3">
        <v>1067</v>
      </c>
      <c r="CT3" s="3">
        <v>1067</v>
      </c>
      <c r="CU3" s="3">
        <v>1067</v>
      </c>
      <c r="CV3" s="3">
        <v>1067</v>
      </c>
      <c r="CW3" s="3">
        <v>1067</v>
      </c>
    </row>
    <row r="4" spans="1:101" s="3" customFormat="1" x14ac:dyDescent="0.25">
      <c r="A4" s="3" t="s">
        <v>318</v>
      </c>
      <c r="B4" s="3">
        <v>972</v>
      </c>
      <c r="C4" s="3">
        <v>989</v>
      </c>
      <c r="D4" s="3">
        <v>989</v>
      </c>
      <c r="E4" s="3">
        <v>1005</v>
      </c>
      <c r="F4" s="3">
        <v>1005</v>
      </c>
      <c r="G4" s="3">
        <v>1005</v>
      </c>
      <c r="H4" s="3">
        <v>1038</v>
      </c>
      <c r="I4" s="3">
        <v>1038</v>
      </c>
      <c r="J4" s="3">
        <v>1038</v>
      </c>
      <c r="K4" s="3">
        <v>1067</v>
      </c>
      <c r="Y4" s="3">
        <v>1819</v>
      </c>
      <c r="Z4" s="3">
        <v>1824</v>
      </c>
      <c r="AA4" s="3">
        <v>1845</v>
      </c>
      <c r="AB4" s="3">
        <v>1845</v>
      </c>
      <c r="AC4" s="3">
        <v>1845</v>
      </c>
      <c r="AD4" s="3">
        <v>1846</v>
      </c>
      <c r="AE4" s="3">
        <v>1884</v>
      </c>
      <c r="AF4" s="3">
        <v>1901</v>
      </c>
      <c r="AG4" s="3">
        <v>388</v>
      </c>
      <c r="AH4" s="3">
        <v>390</v>
      </c>
      <c r="AI4" s="3">
        <v>1067</v>
      </c>
      <c r="AJ4" s="3">
        <v>1067</v>
      </c>
      <c r="AK4" s="3">
        <v>1067</v>
      </c>
      <c r="AL4" s="3">
        <v>1067</v>
      </c>
      <c r="AM4" s="3">
        <v>1067</v>
      </c>
      <c r="AN4" s="3">
        <v>1067</v>
      </c>
      <c r="AO4" s="3">
        <v>1067</v>
      </c>
      <c r="AP4" s="3">
        <v>1067</v>
      </c>
      <c r="AQ4" s="3">
        <v>1067</v>
      </c>
      <c r="AR4" s="3">
        <v>1067</v>
      </c>
      <c r="AS4" s="3">
        <v>1067</v>
      </c>
      <c r="AT4" s="3">
        <v>1067</v>
      </c>
      <c r="AU4" s="3">
        <v>1067</v>
      </c>
      <c r="AV4" s="3">
        <v>1067</v>
      </c>
      <c r="AW4" s="3">
        <v>1067</v>
      </c>
      <c r="AX4" s="3">
        <v>1067</v>
      </c>
      <c r="AY4" s="3">
        <v>1067</v>
      </c>
      <c r="AZ4" s="3">
        <v>1067</v>
      </c>
      <c r="BA4" s="3">
        <v>1067</v>
      </c>
      <c r="BB4" s="3">
        <v>1067</v>
      </c>
      <c r="BC4" s="3">
        <v>1067</v>
      </c>
      <c r="BD4" s="3">
        <v>1067</v>
      </c>
      <c r="BE4" s="3">
        <v>1067</v>
      </c>
      <c r="BF4" s="3">
        <v>1067</v>
      </c>
      <c r="BG4" s="3">
        <v>1067</v>
      </c>
      <c r="BH4" s="3">
        <v>1067</v>
      </c>
      <c r="BI4" s="3">
        <v>1067</v>
      </c>
      <c r="BJ4" s="3">
        <v>1067</v>
      </c>
      <c r="BK4" s="3">
        <v>1067</v>
      </c>
      <c r="BL4" s="3">
        <v>1067</v>
      </c>
      <c r="BM4" s="3">
        <v>1067</v>
      </c>
      <c r="BN4" s="3">
        <v>1067</v>
      </c>
      <c r="BO4" s="3">
        <v>1067</v>
      </c>
      <c r="BP4" s="3">
        <v>1067</v>
      </c>
      <c r="BQ4" s="3">
        <v>1067</v>
      </c>
      <c r="BR4" s="3">
        <v>1067</v>
      </c>
      <c r="BS4" s="3">
        <v>1067</v>
      </c>
      <c r="BT4" s="3">
        <v>1067</v>
      </c>
      <c r="BU4" s="3">
        <v>1067</v>
      </c>
      <c r="BV4" s="3">
        <v>1067</v>
      </c>
      <c r="BW4" s="3">
        <v>1067</v>
      </c>
      <c r="BX4" s="3">
        <v>1067</v>
      </c>
      <c r="BY4" s="3">
        <v>1067</v>
      </c>
      <c r="BZ4" s="3">
        <v>1067</v>
      </c>
      <c r="CA4" s="3">
        <v>1067</v>
      </c>
      <c r="CB4" s="3">
        <v>1067</v>
      </c>
      <c r="CC4" s="3">
        <v>1067</v>
      </c>
      <c r="CD4" s="3">
        <v>1067</v>
      </c>
      <c r="CE4" s="3">
        <v>1067</v>
      </c>
      <c r="CF4" s="3">
        <v>1067</v>
      </c>
      <c r="CG4" s="3">
        <v>1067</v>
      </c>
      <c r="CH4" s="3">
        <v>1067</v>
      </c>
      <c r="CI4" s="3">
        <v>1067</v>
      </c>
      <c r="CJ4" s="3">
        <v>1067</v>
      </c>
      <c r="CK4" s="3">
        <v>1067</v>
      </c>
      <c r="CL4" s="3">
        <v>1067</v>
      </c>
      <c r="CM4" s="3">
        <v>1067</v>
      </c>
      <c r="CN4" s="3">
        <v>1067</v>
      </c>
      <c r="CO4" s="3">
        <v>1067</v>
      </c>
      <c r="CP4" s="3">
        <v>1067</v>
      </c>
      <c r="CQ4" s="3">
        <v>1067</v>
      </c>
      <c r="CR4" s="3">
        <v>1067</v>
      </c>
      <c r="CS4" s="3">
        <v>1067</v>
      </c>
      <c r="CT4" s="3">
        <v>1067</v>
      </c>
      <c r="CU4" s="3">
        <v>1067</v>
      </c>
      <c r="CV4" s="3">
        <v>1067</v>
      </c>
      <c r="CW4" s="3">
        <v>1067</v>
      </c>
    </row>
    <row r="5" spans="1:101" s="3" customFormat="1" x14ac:dyDescent="0.25">
      <c r="A5" s="3" t="s">
        <v>320</v>
      </c>
      <c r="B5" s="3" t="s">
        <v>6</v>
      </c>
      <c r="C5" s="3" t="s">
        <v>6</v>
      </c>
      <c r="D5" s="3" t="s">
        <v>6</v>
      </c>
      <c r="E5" s="3" t="s">
        <v>6</v>
      </c>
      <c r="F5" s="3" t="s">
        <v>6</v>
      </c>
      <c r="G5" s="3" t="s">
        <v>6</v>
      </c>
      <c r="H5" s="3" t="s">
        <v>6</v>
      </c>
      <c r="I5" s="3" t="s">
        <v>6</v>
      </c>
      <c r="J5" s="3" t="s">
        <v>6</v>
      </c>
      <c r="K5" s="3" t="s">
        <v>192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1"/>
  <dimension ref="A1:E9"/>
  <sheetViews>
    <sheetView workbookViewId="0">
      <selection activeCell="E2" sqref="E2:E1000"/>
    </sheetView>
  </sheetViews>
  <sheetFormatPr defaultRowHeight="15" x14ac:dyDescent="0.25"/>
  <cols>
    <col min="1" max="1" width="9.140625" style="3"/>
    <col min="2" max="2" width="10.85546875" style="3" customWidth="1"/>
    <col min="3" max="4" width="9.140625" style="3"/>
    <col min="5" max="5" width="9.140625" style="59"/>
    <col min="6" max="6" width="13.28515625" style="1" bestFit="1" customWidth="1"/>
    <col min="7" max="7" width="10.28515625" style="1" bestFit="1" customWidth="1"/>
    <col min="8" max="16384" width="9.140625" style="1"/>
  </cols>
  <sheetData>
    <row r="1" spans="1:5" x14ac:dyDescent="0.25">
      <c r="A1" s="3" t="s">
        <v>174</v>
      </c>
      <c r="B1" s="3" t="s">
        <v>169</v>
      </c>
      <c r="C1" s="3" t="s">
        <v>7</v>
      </c>
      <c r="D1" s="3" t="s">
        <v>8</v>
      </c>
      <c r="E1" s="59" t="s">
        <v>244</v>
      </c>
    </row>
    <row r="2" spans="1:5" x14ac:dyDescent="0.25">
      <c r="A2" s="3" t="s">
        <v>0</v>
      </c>
      <c r="B2" s="3" t="s">
        <v>257</v>
      </c>
      <c r="C2" s="3">
        <v>5</v>
      </c>
      <c r="D2" s="3">
        <v>2</v>
      </c>
      <c r="E2" s="59">
        <v>3</v>
      </c>
    </row>
    <row r="3" spans="1:5" x14ac:dyDescent="0.25">
      <c r="A3" s="3" t="s">
        <v>1</v>
      </c>
      <c r="B3" s="3" t="s">
        <v>257</v>
      </c>
      <c r="C3" s="3">
        <v>5</v>
      </c>
      <c r="D3" s="3">
        <v>2</v>
      </c>
      <c r="E3" s="59">
        <v>4</v>
      </c>
    </row>
    <row r="4" spans="1:5" x14ac:dyDescent="0.25">
      <c r="A4" s="3" t="s">
        <v>2</v>
      </c>
      <c r="B4" s="3" t="s">
        <v>346</v>
      </c>
      <c r="C4" s="3">
        <v>14</v>
      </c>
      <c r="D4" s="3">
        <v>3</v>
      </c>
      <c r="E4" s="59">
        <v>6</v>
      </c>
    </row>
    <row r="5" spans="1:5" x14ac:dyDescent="0.25">
      <c r="A5" s="3" t="s">
        <v>3</v>
      </c>
      <c r="B5" s="3" t="s">
        <v>346</v>
      </c>
      <c r="C5" s="3">
        <v>14</v>
      </c>
      <c r="D5" s="3">
        <v>3</v>
      </c>
      <c r="E5" s="59">
        <v>6</v>
      </c>
    </row>
    <row r="6" spans="1:5" x14ac:dyDescent="0.25">
      <c r="A6" s="3" t="s">
        <v>5</v>
      </c>
      <c r="B6" s="3" t="s">
        <v>346</v>
      </c>
      <c r="C6" s="3">
        <v>16</v>
      </c>
      <c r="D6" s="3">
        <v>3</v>
      </c>
      <c r="E6" s="59">
        <v>7</v>
      </c>
    </row>
    <row r="7" spans="1:5" x14ac:dyDescent="0.25">
      <c r="A7" s="3" t="s">
        <v>4</v>
      </c>
      <c r="B7" s="3" t="s">
        <v>346</v>
      </c>
      <c r="C7" s="3">
        <v>16</v>
      </c>
      <c r="D7" s="3">
        <v>3</v>
      </c>
      <c r="E7" s="59">
        <v>7</v>
      </c>
    </row>
    <row r="8" spans="1:5" x14ac:dyDescent="0.25">
      <c r="A8" s="3" t="s">
        <v>13</v>
      </c>
      <c r="B8" s="3" t="s">
        <v>346</v>
      </c>
      <c r="C8" s="3">
        <v>12</v>
      </c>
      <c r="D8" s="3">
        <v>3</v>
      </c>
      <c r="E8" s="59">
        <v>6</v>
      </c>
    </row>
    <row r="9" spans="1:5" x14ac:dyDescent="0.25">
      <c r="A9" s="3" t="s">
        <v>14</v>
      </c>
      <c r="B9" s="3" t="s">
        <v>347</v>
      </c>
      <c r="C9" s="3">
        <v>13</v>
      </c>
      <c r="D9" s="3">
        <v>2</v>
      </c>
      <c r="E9" s="59">
        <v>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3"/>
  <dimension ref="A2:E9"/>
  <sheetViews>
    <sheetView workbookViewId="0">
      <selection activeCell="H14" sqref="H14"/>
    </sheetView>
  </sheetViews>
  <sheetFormatPr defaultRowHeight="15" x14ac:dyDescent="0.25"/>
  <cols>
    <col min="1" max="16384" width="9.140625" style="1"/>
  </cols>
  <sheetData>
    <row r="2" spans="1:5" x14ac:dyDescent="0.25">
      <c r="A2" s="1">
        <v>1</v>
      </c>
      <c r="D2" s="1" t="s">
        <v>0</v>
      </c>
      <c r="E2" s="1">
        <v>3</v>
      </c>
    </row>
    <row r="3" spans="1:5" x14ac:dyDescent="0.25">
      <c r="A3" s="1">
        <v>2</v>
      </c>
      <c r="D3" s="1" t="s">
        <v>1</v>
      </c>
      <c r="E3" s="1">
        <v>4</v>
      </c>
    </row>
    <row r="4" spans="1:5" x14ac:dyDescent="0.25">
      <c r="A4" s="1">
        <v>3</v>
      </c>
      <c r="D4" s="1" t="s">
        <v>2</v>
      </c>
      <c r="E4" s="1">
        <v>6</v>
      </c>
    </row>
    <row r="5" spans="1:5" x14ac:dyDescent="0.25">
      <c r="A5" s="1">
        <v>4</v>
      </c>
      <c r="D5" s="1" t="s">
        <v>3</v>
      </c>
      <c r="E5" s="1">
        <v>6</v>
      </c>
    </row>
    <row r="6" spans="1:5" x14ac:dyDescent="0.25">
      <c r="A6" s="1">
        <v>5</v>
      </c>
      <c r="D6" s="1" t="s">
        <v>5</v>
      </c>
      <c r="E6" s="1">
        <v>7</v>
      </c>
    </row>
    <row r="7" spans="1:5" x14ac:dyDescent="0.25">
      <c r="A7" s="1">
        <v>6</v>
      </c>
      <c r="D7" s="1" t="s">
        <v>4</v>
      </c>
      <c r="E7" s="1">
        <v>7</v>
      </c>
    </row>
    <row r="8" spans="1:5" x14ac:dyDescent="0.25">
      <c r="A8" s="1">
        <v>7</v>
      </c>
      <c r="D8" s="1" t="s">
        <v>13</v>
      </c>
      <c r="E8" s="1">
        <v>6</v>
      </c>
    </row>
    <row r="9" spans="1:5" x14ac:dyDescent="0.25">
      <c r="A9" s="1">
        <v>8</v>
      </c>
      <c r="D9" s="1" t="s">
        <v>14</v>
      </c>
      <c r="E9" s="1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9"/>
  <dimension ref="A1:AB200"/>
  <sheetViews>
    <sheetView zoomScale="55" zoomScaleNormal="55" workbookViewId="0">
      <selection activeCell="R68" sqref="R68"/>
    </sheetView>
  </sheetViews>
  <sheetFormatPr defaultRowHeight="15" x14ac:dyDescent="0.25"/>
  <cols>
    <col min="1" max="1" width="3" style="1" customWidth="1"/>
    <col min="2" max="28" width="9.140625" style="3"/>
    <col min="29" max="16384" width="9.140625" style="1"/>
  </cols>
  <sheetData>
    <row r="1" spans="1:28" x14ac:dyDescent="0.25">
      <c r="A1" s="52"/>
      <c r="B1" s="28"/>
      <c r="C1" s="28" t="s">
        <v>0</v>
      </c>
      <c r="D1" s="28" t="s">
        <v>1</v>
      </c>
      <c r="E1" s="28" t="s">
        <v>2</v>
      </c>
      <c r="F1" s="28" t="s">
        <v>3</v>
      </c>
      <c r="G1" s="28" t="s">
        <v>5</v>
      </c>
      <c r="H1" s="28" t="s">
        <v>4</v>
      </c>
      <c r="I1" s="28" t="s">
        <v>13</v>
      </c>
      <c r="J1" s="28" t="s">
        <v>14</v>
      </c>
      <c r="K1" s="28" t="s">
        <v>142</v>
      </c>
      <c r="L1" s="28" t="s">
        <v>140</v>
      </c>
      <c r="M1" s="28" t="s">
        <v>143</v>
      </c>
      <c r="N1" s="28" t="s">
        <v>145</v>
      </c>
      <c r="O1" s="28" t="s">
        <v>183</v>
      </c>
      <c r="P1" s="28" t="s">
        <v>6</v>
      </c>
      <c r="Q1" s="28" t="s">
        <v>184</v>
      </c>
      <c r="R1" s="28" t="s">
        <v>185</v>
      </c>
      <c r="S1" s="28" t="s">
        <v>186</v>
      </c>
      <c r="T1" s="28" t="s">
        <v>144</v>
      </c>
      <c r="U1" s="28" t="s">
        <v>187</v>
      </c>
      <c r="V1" s="28" t="s">
        <v>141</v>
      </c>
      <c r="W1" s="28" t="s">
        <v>188</v>
      </c>
      <c r="X1" s="28" t="s">
        <v>189</v>
      </c>
      <c r="Y1" s="28" t="s">
        <v>190</v>
      </c>
      <c r="Z1" s="28" t="s">
        <v>191</v>
      </c>
      <c r="AA1" s="28" t="s">
        <v>192</v>
      </c>
      <c r="AB1" s="28" t="s">
        <v>193</v>
      </c>
    </row>
    <row r="2" spans="1:28" x14ac:dyDescent="0.25">
      <c r="A2" s="93"/>
      <c r="B2" s="85" t="s">
        <v>194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1</v>
      </c>
      <c r="L2" s="3">
        <v>1</v>
      </c>
      <c r="M2" s="3">
        <v>0</v>
      </c>
      <c r="N2" s="3">
        <v>1</v>
      </c>
      <c r="O2" s="3">
        <v>0</v>
      </c>
      <c r="P2" s="3">
        <v>0</v>
      </c>
      <c r="Q2" s="3">
        <v>0</v>
      </c>
      <c r="R2" s="3">
        <v>0</v>
      </c>
      <c r="S2" s="3">
        <v>1</v>
      </c>
      <c r="T2" s="3">
        <v>1</v>
      </c>
      <c r="U2" s="3">
        <v>1</v>
      </c>
      <c r="V2" s="3">
        <v>0</v>
      </c>
      <c r="W2" s="3">
        <v>1</v>
      </c>
      <c r="X2" s="3">
        <v>1</v>
      </c>
      <c r="Y2" s="3">
        <v>0</v>
      </c>
      <c r="Z2" s="3">
        <v>1</v>
      </c>
      <c r="AA2" s="3">
        <v>0</v>
      </c>
      <c r="AB2" s="3">
        <v>1</v>
      </c>
    </row>
    <row r="3" spans="1:28" x14ac:dyDescent="0.25">
      <c r="A3" s="93"/>
      <c r="B3" s="85" t="s">
        <v>195</v>
      </c>
      <c r="C3" s="3">
        <v>1</v>
      </c>
      <c r="D3" s="3">
        <v>0</v>
      </c>
      <c r="E3" s="3">
        <v>1</v>
      </c>
      <c r="F3" s="3">
        <v>1</v>
      </c>
      <c r="G3" s="3">
        <v>0</v>
      </c>
      <c r="H3" s="3">
        <v>1</v>
      </c>
      <c r="I3" s="3">
        <v>0</v>
      </c>
      <c r="J3" s="3">
        <v>1</v>
      </c>
      <c r="K3" s="3">
        <v>0</v>
      </c>
      <c r="L3" s="3">
        <v>0</v>
      </c>
      <c r="M3" s="3">
        <v>0</v>
      </c>
      <c r="N3" s="3">
        <v>1</v>
      </c>
      <c r="O3" s="3">
        <v>1</v>
      </c>
      <c r="P3" s="3">
        <v>0</v>
      </c>
      <c r="Q3" s="3">
        <v>0</v>
      </c>
      <c r="R3" s="3">
        <v>1</v>
      </c>
      <c r="S3" s="3">
        <v>0</v>
      </c>
      <c r="T3" s="3">
        <v>1</v>
      </c>
      <c r="U3" s="3">
        <v>0</v>
      </c>
      <c r="V3" s="3">
        <v>0</v>
      </c>
      <c r="W3" s="3">
        <v>1</v>
      </c>
      <c r="X3" s="3">
        <v>1</v>
      </c>
      <c r="Y3" s="3">
        <v>0</v>
      </c>
      <c r="Z3" s="3">
        <v>1</v>
      </c>
      <c r="AA3" s="3">
        <v>1</v>
      </c>
      <c r="AB3" s="3">
        <v>1</v>
      </c>
    </row>
    <row r="4" spans="1:28" x14ac:dyDescent="0.25">
      <c r="A4" s="93"/>
      <c r="B4" s="85" t="s">
        <v>196</v>
      </c>
      <c r="C4" s="3">
        <v>0</v>
      </c>
      <c r="D4" s="3">
        <v>1</v>
      </c>
      <c r="E4" s="3">
        <v>1</v>
      </c>
      <c r="F4" s="3">
        <v>1</v>
      </c>
      <c r="G4" s="3">
        <v>0</v>
      </c>
      <c r="H4" s="3">
        <v>1</v>
      </c>
      <c r="I4" s="3">
        <v>0</v>
      </c>
      <c r="J4" s="3">
        <v>1</v>
      </c>
      <c r="K4" s="3">
        <v>0</v>
      </c>
      <c r="L4" s="3">
        <v>0</v>
      </c>
      <c r="M4" s="3">
        <v>0</v>
      </c>
      <c r="N4" s="3">
        <v>1</v>
      </c>
      <c r="O4" s="3">
        <v>0</v>
      </c>
      <c r="P4" s="3">
        <v>1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1</v>
      </c>
      <c r="W4" s="3">
        <v>1</v>
      </c>
      <c r="X4" s="3">
        <v>0</v>
      </c>
      <c r="Y4" s="3">
        <v>0</v>
      </c>
      <c r="Z4" s="3">
        <v>0</v>
      </c>
      <c r="AA4" s="3">
        <v>1</v>
      </c>
      <c r="AB4" s="3">
        <v>0</v>
      </c>
    </row>
    <row r="5" spans="1:28" x14ac:dyDescent="0.25">
      <c r="A5" s="93"/>
      <c r="B5" s="85" t="s">
        <v>197</v>
      </c>
      <c r="C5" s="3">
        <v>0</v>
      </c>
      <c r="D5" s="3">
        <v>0</v>
      </c>
      <c r="E5" s="3">
        <v>0</v>
      </c>
      <c r="F5" s="3">
        <v>0</v>
      </c>
      <c r="G5" s="3">
        <v>1</v>
      </c>
      <c r="H5" s="3">
        <v>0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0</v>
      </c>
      <c r="P5" s="3">
        <v>0</v>
      </c>
      <c r="Q5" s="3">
        <v>0</v>
      </c>
      <c r="R5" s="3">
        <v>1</v>
      </c>
      <c r="S5" s="3">
        <v>1</v>
      </c>
      <c r="T5" s="3">
        <v>1</v>
      </c>
      <c r="U5" s="3">
        <v>1</v>
      </c>
      <c r="V5" s="3">
        <v>0</v>
      </c>
      <c r="W5" s="3">
        <v>0</v>
      </c>
      <c r="X5" s="3">
        <v>0</v>
      </c>
      <c r="Y5" s="3">
        <v>1</v>
      </c>
      <c r="Z5" s="3">
        <v>1</v>
      </c>
      <c r="AA5" s="3">
        <v>0</v>
      </c>
      <c r="AB5" s="3">
        <v>1</v>
      </c>
    </row>
    <row r="6" spans="1:28" x14ac:dyDescent="0.25">
      <c r="A6" s="93"/>
      <c r="B6" s="85" t="s">
        <v>198</v>
      </c>
      <c r="C6" s="3">
        <v>0</v>
      </c>
      <c r="D6" s="3">
        <v>0</v>
      </c>
      <c r="E6" s="3">
        <v>0</v>
      </c>
      <c r="F6" s="3">
        <v>1</v>
      </c>
      <c r="G6" s="3">
        <v>0</v>
      </c>
      <c r="H6" s="3">
        <v>1</v>
      </c>
      <c r="I6" s="3">
        <v>1</v>
      </c>
      <c r="J6" s="3">
        <v>1</v>
      </c>
      <c r="K6" s="3">
        <v>1</v>
      </c>
      <c r="L6" s="3">
        <v>0</v>
      </c>
      <c r="M6" s="3">
        <v>1</v>
      </c>
      <c r="N6" s="3">
        <v>1</v>
      </c>
      <c r="O6" s="3">
        <v>1</v>
      </c>
      <c r="P6" s="3">
        <v>1</v>
      </c>
      <c r="Q6" s="3">
        <v>0</v>
      </c>
      <c r="R6" s="3">
        <v>0</v>
      </c>
      <c r="S6" s="3">
        <v>1</v>
      </c>
      <c r="T6" s="3">
        <v>0</v>
      </c>
      <c r="U6" s="3">
        <v>1</v>
      </c>
      <c r="V6" s="3">
        <v>0</v>
      </c>
      <c r="W6" s="3">
        <v>1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25">
      <c r="A7" s="93"/>
      <c r="B7" s="85" t="s">
        <v>199</v>
      </c>
      <c r="C7" s="3">
        <v>1</v>
      </c>
      <c r="D7" s="3">
        <v>0</v>
      </c>
      <c r="E7" s="3">
        <v>1</v>
      </c>
      <c r="F7" s="3">
        <v>0</v>
      </c>
      <c r="G7" s="3">
        <v>1</v>
      </c>
      <c r="H7" s="3">
        <v>0</v>
      </c>
      <c r="I7" s="3">
        <v>0</v>
      </c>
      <c r="J7" s="3">
        <v>1</v>
      </c>
      <c r="K7" s="3">
        <v>0</v>
      </c>
      <c r="L7" s="3">
        <v>1</v>
      </c>
      <c r="M7" s="3">
        <v>1</v>
      </c>
      <c r="N7" s="3">
        <v>0</v>
      </c>
      <c r="O7" s="3">
        <v>1</v>
      </c>
      <c r="P7" s="3">
        <v>0</v>
      </c>
      <c r="Q7" s="3">
        <v>1</v>
      </c>
      <c r="R7" s="3">
        <v>0</v>
      </c>
      <c r="S7" s="3">
        <v>0</v>
      </c>
      <c r="T7" s="3">
        <v>1</v>
      </c>
      <c r="U7" s="3">
        <v>1</v>
      </c>
      <c r="V7" s="3">
        <v>1</v>
      </c>
      <c r="W7" s="3">
        <v>0</v>
      </c>
      <c r="X7" s="3">
        <v>1</v>
      </c>
      <c r="Y7" s="3">
        <v>0</v>
      </c>
      <c r="Z7" s="3">
        <v>1</v>
      </c>
      <c r="AA7" s="3">
        <v>1</v>
      </c>
      <c r="AB7" s="3">
        <v>1</v>
      </c>
    </row>
    <row r="8" spans="1:28" x14ac:dyDescent="0.25">
      <c r="A8" s="93"/>
      <c r="B8" s="85" t="s">
        <v>200</v>
      </c>
      <c r="C8" s="3">
        <v>0</v>
      </c>
      <c r="D8" s="3">
        <v>0</v>
      </c>
      <c r="E8" s="3">
        <v>1</v>
      </c>
      <c r="F8" s="3">
        <v>0</v>
      </c>
      <c r="G8" s="3">
        <v>1</v>
      </c>
      <c r="H8" s="3">
        <v>0</v>
      </c>
      <c r="I8" s="3">
        <v>0</v>
      </c>
      <c r="J8" s="3">
        <v>1</v>
      </c>
      <c r="K8" s="3">
        <v>0</v>
      </c>
      <c r="L8" s="3">
        <v>0</v>
      </c>
      <c r="M8" s="3">
        <v>0</v>
      </c>
      <c r="N8" s="3">
        <v>0</v>
      </c>
      <c r="O8" s="3">
        <v>1</v>
      </c>
      <c r="P8" s="3">
        <v>1</v>
      </c>
      <c r="Q8" s="3">
        <v>0</v>
      </c>
      <c r="R8" s="3">
        <v>0</v>
      </c>
      <c r="S8" s="3">
        <v>0</v>
      </c>
      <c r="T8" s="3">
        <v>1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1</v>
      </c>
      <c r="AA8" s="3">
        <v>1</v>
      </c>
      <c r="AB8" s="3">
        <v>0</v>
      </c>
    </row>
    <row r="9" spans="1:28" x14ac:dyDescent="0.25">
      <c r="A9" s="93"/>
      <c r="B9" s="85" t="s">
        <v>201</v>
      </c>
      <c r="C9" s="3">
        <v>1</v>
      </c>
      <c r="D9" s="3">
        <v>0</v>
      </c>
      <c r="E9" s="3">
        <v>1</v>
      </c>
      <c r="F9" s="3">
        <v>1</v>
      </c>
      <c r="G9" s="3">
        <v>1</v>
      </c>
      <c r="H9" s="3">
        <v>0</v>
      </c>
      <c r="I9" s="3">
        <v>1</v>
      </c>
      <c r="J9" s="3">
        <v>0</v>
      </c>
      <c r="K9" s="3">
        <v>0</v>
      </c>
      <c r="L9" s="3">
        <v>0</v>
      </c>
      <c r="M9" s="3">
        <v>0</v>
      </c>
      <c r="N9" s="3">
        <v>1</v>
      </c>
      <c r="O9" s="3">
        <v>1</v>
      </c>
      <c r="P9" s="3">
        <v>0</v>
      </c>
      <c r="Q9" s="3">
        <v>1</v>
      </c>
      <c r="R9" s="3">
        <v>0</v>
      </c>
      <c r="S9" s="3">
        <v>0</v>
      </c>
      <c r="T9" s="3">
        <v>1</v>
      </c>
      <c r="U9" s="3">
        <v>0</v>
      </c>
      <c r="V9" s="3">
        <v>1</v>
      </c>
      <c r="W9" s="3">
        <v>1</v>
      </c>
      <c r="X9" s="3">
        <v>0</v>
      </c>
      <c r="Y9" s="3">
        <v>1</v>
      </c>
      <c r="Z9" s="3">
        <v>1</v>
      </c>
      <c r="AA9" s="3">
        <v>1</v>
      </c>
      <c r="AB9" s="3">
        <v>1</v>
      </c>
    </row>
    <row r="10" spans="1:28" x14ac:dyDescent="0.25">
      <c r="A10" s="93"/>
      <c r="B10" s="85" t="s">
        <v>202</v>
      </c>
      <c r="C10" s="3">
        <v>1</v>
      </c>
      <c r="D10" s="3">
        <v>1</v>
      </c>
      <c r="E10" s="3">
        <v>1</v>
      </c>
      <c r="F10" s="3">
        <v>1</v>
      </c>
      <c r="G10" s="3">
        <v>0</v>
      </c>
      <c r="H10" s="3">
        <v>1</v>
      </c>
      <c r="I10" s="3">
        <v>0</v>
      </c>
      <c r="J10" s="3">
        <v>0</v>
      </c>
      <c r="K10" s="3">
        <v>1</v>
      </c>
      <c r="L10" s="3">
        <v>0</v>
      </c>
      <c r="M10" s="3">
        <v>0</v>
      </c>
      <c r="N10" s="3">
        <v>0</v>
      </c>
      <c r="O10" s="3">
        <v>1</v>
      </c>
      <c r="P10" s="3">
        <v>0</v>
      </c>
      <c r="Q10" s="3">
        <v>0</v>
      </c>
      <c r="R10" s="3">
        <v>0</v>
      </c>
      <c r="S10" s="3">
        <v>1</v>
      </c>
      <c r="T10" s="3">
        <v>0</v>
      </c>
      <c r="U10" s="3">
        <v>1</v>
      </c>
      <c r="V10" s="3">
        <v>1</v>
      </c>
      <c r="W10" s="3">
        <v>0</v>
      </c>
      <c r="X10" s="3">
        <v>1</v>
      </c>
      <c r="Y10" s="3">
        <v>0</v>
      </c>
      <c r="Z10" s="3">
        <v>0</v>
      </c>
      <c r="AA10" s="3">
        <v>1</v>
      </c>
      <c r="AB10" s="3">
        <v>0</v>
      </c>
    </row>
    <row r="11" spans="1:28" x14ac:dyDescent="0.25">
      <c r="A11" s="93"/>
      <c r="B11" s="85" t="s">
        <v>203</v>
      </c>
      <c r="C11" s="3">
        <v>1</v>
      </c>
      <c r="D11" s="3">
        <v>0</v>
      </c>
      <c r="E11" s="3">
        <v>0</v>
      </c>
      <c r="F11" s="3">
        <v>0</v>
      </c>
      <c r="G11" s="3">
        <v>0</v>
      </c>
      <c r="H11" s="3">
        <v>1</v>
      </c>
      <c r="I11" s="3">
        <v>0</v>
      </c>
      <c r="J11" s="3">
        <v>0</v>
      </c>
      <c r="K11" s="3">
        <v>0</v>
      </c>
      <c r="L11" s="3">
        <v>1</v>
      </c>
      <c r="M11" s="3">
        <v>0</v>
      </c>
      <c r="N11" s="3">
        <v>0</v>
      </c>
      <c r="O11" s="3">
        <v>1</v>
      </c>
      <c r="P11" s="3">
        <v>0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0</v>
      </c>
      <c r="Y11" s="3">
        <v>0</v>
      </c>
      <c r="Z11" s="3">
        <v>1</v>
      </c>
      <c r="AA11" s="3">
        <v>1</v>
      </c>
      <c r="AB11" s="3">
        <v>0</v>
      </c>
    </row>
    <row r="12" spans="1:28" x14ac:dyDescent="0.25">
      <c r="A12" s="93"/>
      <c r="B12" s="85" t="s">
        <v>204</v>
      </c>
      <c r="C12" s="3">
        <v>0</v>
      </c>
      <c r="D12" s="3">
        <v>1</v>
      </c>
      <c r="E12" s="3">
        <v>1</v>
      </c>
      <c r="F12" s="3">
        <v>0</v>
      </c>
      <c r="G12" s="3">
        <v>1</v>
      </c>
      <c r="H12" s="3">
        <v>0</v>
      </c>
      <c r="I12" s="3">
        <v>1</v>
      </c>
      <c r="J12" s="3">
        <v>1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1</v>
      </c>
      <c r="R12" s="3">
        <v>0</v>
      </c>
      <c r="S12" s="3">
        <v>0</v>
      </c>
      <c r="T12" s="3">
        <v>1</v>
      </c>
      <c r="U12" s="3">
        <v>1</v>
      </c>
      <c r="V12" s="3">
        <v>0</v>
      </c>
      <c r="W12" s="3">
        <v>0</v>
      </c>
      <c r="X12" s="3">
        <v>1</v>
      </c>
      <c r="Y12" s="3">
        <v>1</v>
      </c>
      <c r="Z12" s="3">
        <v>0</v>
      </c>
      <c r="AA12" s="3">
        <v>0</v>
      </c>
      <c r="AB12" s="3">
        <v>1</v>
      </c>
    </row>
    <row r="13" spans="1:28" x14ac:dyDescent="0.25">
      <c r="A13" s="93"/>
      <c r="B13" s="63" t="s">
        <v>205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1</v>
      </c>
      <c r="M13" s="3">
        <v>0</v>
      </c>
      <c r="N13" s="3">
        <v>0</v>
      </c>
      <c r="O13" s="3">
        <v>0</v>
      </c>
      <c r="P13" s="3">
        <v>1</v>
      </c>
      <c r="Q13" s="3">
        <v>0</v>
      </c>
      <c r="R13" s="3">
        <v>1</v>
      </c>
      <c r="S13" s="3">
        <v>1</v>
      </c>
      <c r="T13" s="3">
        <v>0</v>
      </c>
      <c r="U13" s="3">
        <v>1</v>
      </c>
      <c r="V13" s="3">
        <v>0</v>
      </c>
      <c r="W13" s="3">
        <v>1</v>
      </c>
      <c r="X13" s="3">
        <v>1</v>
      </c>
      <c r="Y13" s="3">
        <v>0</v>
      </c>
      <c r="Z13" s="3">
        <v>0</v>
      </c>
      <c r="AA13" s="3">
        <v>1</v>
      </c>
      <c r="AB13" s="3">
        <v>0</v>
      </c>
    </row>
    <row r="14" spans="1:28" x14ac:dyDescent="0.25">
      <c r="A14" s="93"/>
      <c r="B14" s="85" t="s">
        <v>206</v>
      </c>
      <c r="C14" s="3">
        <v>1</v>
      </c>
      <c r="D14" s="3">
        <v>1</v>
      </c>
      <c r="E14" s="3">
        <v>0</v>
      </c>
      <c r="F14" s="3">
        <v>0</v>
      </c>
      <c r="G14" s="3">
        <v>1</v>
      </c>
      <c r="H14" s="3">
        <v>1</v>
      </c>
      <c r="I14" s="3">
        <v>1</v>
      </c>
      <c r="J14" s="3">
        <v>1</v>
      </c>
      <c r="K14" s="3">
        <v>0</v>
      </c>
      <c r="L14" s="3">
        <v>1</v>
      </c>
      <c r="M14" s="3">
        <v>1</v>
      </c>
      <c r="N14" s="3">
        <v>0</v>
      </c>
      <c r="O14" s="3">
        <v>0</v>
      </c>
      <c r="P14" s="3">
        <v>1</v>
      </c>
      <c r="Q14" s="3">
        <v>0</v>
      </c>
      <c r="R14" s="3">
        <v>1</v>
      </c>
      <c r="S14" s="3">
        <v>0</v>
      </c>
      <c r="T14" s="3">
        <v>1</v>
      </c>
      <c r="U14" s="3">
        <v>0</v>
      </c>
      <c r="V14" s="3">
        <v>1</v>
      </c>
      <c r="W14" s="3">
        <v>0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</row>
    <row r="15" spans="1:28" x14ac:dyDescent="0.25">
      <c r="A15" s="93"/>
      <c r="B15" s="85" t="s">
        <v>207</v>
      </c>
      <c r="C15" s="3">
        <v>1</v>
      </c>
      <c r="D15" s="3">
        <v>1</v>
      </c>
      <c r="E15" s="3">
        <v>1</v>
      </c>
      <c r="F15" s="3">
        <v>0</v>
      </c>
      <c r="G15" s="3">
        <v>1</v>
      </c>
      <c r="H15" s="3">
        <v>1</v>
      </c>
      <c r="I15" s="3">
        <v>1</v>
      </c>
      <c r="J15" s="3">
        <v>1</v>
      </c>
      <c r="K15" s="3">
        <v>0</v>
      </c>
      <c r="L15" s="3">
        <v>0</v>
      </c>
      <c r="M15" s="3">
        <v>1</v>
      </c>
      <c r="N15" s="3">
        <v>0</v>
      </c>
      <c r="O15" s="3">
        <v>1</v>
      </c>
      <c r="P15" s="3">
        <v>1</v>
      </c>
      <c r="Q15" s="3">
        <v>1</v>
      </c>
      <c r="R15" s="3">
        <v>1</v>
      </c>
      <c r="S15" s="3">
        <v>0</v>
      </c>
      <c r="T15" s="3">
        <v>0</v>
      </c>
      <c r="U15" s="3">
        <v>1</v>
      </c>
      <c r="V15" s="3">
        <v>0</v>
      </c>
      <c r="W15" s="3">
        <v>1</v>
      </c>
      <c r="X15" s="3">
        <v>0</v>
      </c>
      <c r="Y15" s="3">
        <v>0</v>
      </c>
      <c r="Z15" s="3">
        <v>1</v>
      </c>
      <c r="AA15" s="3">
        <v>0</v>
      </c>
      <c r="AB15" s="3">
        <v>1</v>
      </c>
    </row>
    <row r="16" spans="1:28" x14ac:dyDescent="0.25">
      <c r="A16" s="93"/>
      <c r="B16" s="85" t="s">
        <v>208</v>
      </c>
      <c r="C16" s="3">
        <v>0</v>
      </c>
      <c r="D16" s="3">
        <v>1</v>
      </c>
      <c r="E16" s="3">
        <v>1</v>
      </c>
      <c r="F16" s="3">
        <v>1</v>
      </c>
      <c r="G16" s="3">
        <v>0</v>
      </c>
      <c r="H16" s="3">
        <v>1</v>
      </c>
      <c r="I16" s="3">
        <v>1</v>
      </c>
      <c r="J16" s="3">
        <v>0</v>
      </c>
      <c r="K16" s="3">
        <v>0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0</v>
      </c>
      <c r="T16" s="3">
        <v>1</v>
      </c>
      <c r="U16" s="3">
        <v>1</v>
      </c>
      <c r="V16" s="3">
        <v>0</v>
      </c>
      <c r="W16" s="3">
        <v>1</v>
      </c>
      <c r="X16" s="3">
        <v>0</v>
      </c>
      <c r="Y16" s="3">
        <v>1</v>
      </c>
      <c r="Z16" s="3">
        <v>0</v>
      </c>
      <c r="AA16" s="3">
        <v>0</v>
      </c>
      <c r="AB16" s="3">
        <v>1</v>
      </c>
    </row>
    <row r="17" spans="1:28" x14ac:dyDescent="0.25">
      <c r="A17" s="93"/>
      <c r="B17" s="85" t="s">
        <v>209</v>
      </c>
      <c r="C17" s="3">
        <v>0</v>
      </c>
      <c r="D17" s="3">
        <v>0</v>
      </c>
      <c r="E17" s="3">
        <v>1</v>
      </c>
      <c r="F17" s="3">
        <v>0</v>
      </c>
      <c r="G17" s="3">
        <v>0</v>
      </c>
      <c r="H17" s="3">
        <v>0</v>
      </c>
      <c r="I17" s="3">
        <v>1</v>
      </c>
      <c r="J17" s="3">
        <v>1</v>
      </c>
      <c r="K17" s="3">
        <v>1</v>
      </c>
      <c r="L17" s="3">
        <v>1</v>
      </c>
      <c r="M17" s="3">
        <v>0</v>
      </c>
      <c r="N17" s="3">
        <v>0</v>
      </c>
      <c r="O17" s="3">
        <v>1</v>
      </c>
      <c r="P17" s="3">
        <v>1</v>
      </c>
      <c r="Q17" s="3">
        <v>1</v>
      </c>
      <c r="R17" s="3">
        <v>1</v>
      </c>
      <c r="S17" s="3">
        <v>0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0</v>
      </c>
      <c r="AA17" s="3">
        <v>0</v>
      </c>
      <c r="AB17" s="3">
        <v>0</v>
      </c>
    </row>
    <row r="18" spans="1:28" x14ac:dyDescent="0.25">
      <c r="A18" s="93"/>
      <c r="B18" s="85" t="s">
        <v>210</v>
      </c>
      <c r="C18" s="3">
        <v>0</v>
      </c>
      <c r="D18" s="3">
        <v>0</v>
      </c>
      <c r="E18" s="3">
        <v>0</v>
      </c>
      <c r="F18" s="3">
        <v>0</v>
      </c>
      <c r="G18" s="3">
        <v>1</v>
      </c>
      <c r="H18" s="3">
        <v>1</v>
      </c>
      <c r="I18" s="3">
        <v>1</v>
      </c>
      <c r="J18" s="3">
        <v>1</v>
      </c>
      <c r="K18" s="3">
        <v>1</v>
      </c>
      <c r="L18" s="3">
        <v>1</v>
      </c>
      <c r="M18" s="3">
        <v>1</v>
      </c>
      <c r="N18" s="3">
        <v>1</v>
      </c>
      <c r="O18" s="3">
        <v>0</v>
      </c>
      <c r="P18" s="3">
        <v>0</v>
      </c>
      <c r="Q18" s="3">
        <v>1</v>
      </c>
      <c r="R18" s="3">
        <v>0</v>
      </c>
      <c r="S18" s="3">
        <v>1</v>
      </c>
      <c r="T18" s="3">
        <v>1</v>
      </c>
      <c r="U18" s="3">
        <v>1</v>
      </c>
      <c r="V18" s="3">
        <v>1</v>
      </c>
      <c r="W18" s="3">
        <v>0</v>
      </c>
      <c r="X18" s="3">
        <v>1</v>
      </c>
      <c r="Y18" s="3">
        <v>0</v>
      </c>
      <c r="Z18" s="3">
        <v>1</v>
      </c>
      <c r="AA18" s="3">
        <v>0</v>
      </c>
      <c r="AB18" s="3">
        <v>0</v>
      </c>
    </row>
    <row r="19" spans="1:28" x14ac:dyDescent="0.25">
      <c r="A19" s="93"/>
      <c r="B19" s="97" t="s">
        <v>211</v>
      </c>
      <c r="C19" s="3">
        <v>0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K19" s="3">
        <v>1</v>
      </c>
      <c r="L19" s="3">
        <v>1</v>
      </c>
      <c r="M19" s="3">
        <v>0</v>
      </c>
      <c r="N19" s="3">
        <v>0</v>
      </c>
      <c r="O19" s="3">
        <v>0</v>
      </c>
      <c r="P19" s="3">
        <v>1</v>
      </c>
      <c r="Q19" s="3">
        <v>1</v>
      </c>
      <c r="R19" s="3">
        <v>0</v>
      </c>
      <c r="S19" s="3">
        <v>0</v>
      </c>
      <c r="T19" s="3">
        <v>1</v>
      </c>
      <c r="U19" s="3">
        <v>0</v>
      </c>
      <c r="V19" s="3">
        <v>1</v>
      </c>
      <c r="W19" s="3">
        <v>1</v>
      </c>
      <c r="X19" s="3">
        <v>1</v>
      </c>
      <c r="Y19" s="3">
        <v>0</v>
      </c>
      <c r="Z19" s="3">
        <v>0</v>
      </c>
      <c r="AA19" s="3">
        <v>0</v>
      </c>
      <c r="AB19" s="3">
        <v>1</v>
      </c>
    </row>
    <row r="20" spans="1:28" x14ac:dyDescent="0.25">
      <c r="A20" s="93"/>
      <c r="B20" s="63" t="s">
        <v>212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1</v>
      </c>
      <c r="L20" s="3">
        <v>1</v>
      </c>
      <c r="M20" s="3">
        <v>1</v>
      </c>
      <c r="N20" s="3">
        <v>1</v>
      </c>
      <c r="O20" s="3">
        <v>0</v>
      </c>
      <c r="P20" s="3">
        <v>1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1</v>
      </c>
      <c r="X20" s="3">
        <v>0</v>
      </c>
      <c r="Y20" s="3">
        <v>1</v>
      </c>
      <c r="Z20" s="3">
        <v>0</v>
      </c>
      <c r="AA20" s="3">
        <v>1</v>
      </c>
      <c r="AB20" s="3">
        <v>0</v>
      </c>
    </row>
    <row r="21" spans="1:28" x14ac:dyDescent="0.25">
      <c r="A21" s="93"/>
      <c r="B21" s="85" t="s">
        <v>213</v>
      </c>
      <c r="C21" s="3">
        <v>0</v>
      </c>
      <c r="D21" s="3">
        <v>1</v>
      </c>
      <c r="E21" s="3">
        <v>1</v>
      </c>
      <c r="F21" s="3">
        <v>1</v>
      </c>
      <c r="G21" s="3">
        <v>1</v>
      </c>
      <c r="H21" s="3">
        <v>1</v>
      </c>
      <c r="I21" s="3">
        <v>0</v>
      </c>
      <c r="J21" s="3">
        <v>0</v>
      </c>
      <c r="K21" s="3">
        <v>1</v>
      </c>
      <c r="L21" s="3">
        <v>1</v>
      </c>
      <c r="M21" s="3">
        <v>1</v>
      </c>
      <c r="N21" s="3">
        <v>1</v>
      </c>
      <c r="O21" s="3">
        <v>0</v>
      </c>
      <c r="P21" s="3">
        <v>1</v>
      </c>
      <c r="Q21" s="3">
        <v>0</v>
      </c>
      <c r="R21" s="3">
        <v>1</v>
      </c>
      <c r="S21" s="3">
        <v>1</v>
      </c>
      <c r="T21" s="3">
        <v>1</v>
      </c>
      <c r="U21" s="3">
        <v>0</v>
      </c>
      <c r="V21" s="3">
        <v>1</v>
      </c>
      <c r="W21" s="3">
        <v>1</v>
      </c>
      <c r="X21" s="3">
        <v>1</v>
      </c>
      <c r="Y21" s="3">
        <v>0</v>
      </c>
      <c r="Z21" s="3">
        <v>0</v>
      </c>
      <c r="AA21" s="3">
        <v>0</v>
      </c>
      <c r="AB21" s="3">
        <v>0</v>
      </c>
    </row>
    <row r="22" spans="1:28" x14ac:dyDescent="0.25">
      <c r="A22" s="93"/>
      <c r="B22" s="85" t="s">
        <v>214</v>
      </c>
      <c r="C22" s="3">
        <v>1</v>
      </c>
      <c r="D22" s="3">
        <v>0</v>
      </c>
      <c r="E22" s="3">
        <v>1</v>
      </c>
      <c r="F22" s="3">
        <v>1</v>
      </c>
      <c r="G22" s="3">
        <v>0</v>
      </c>
      <c r="H22" s="3">
        <v>1</v>
      </c>
      <c r="I22" s="3">
        <v>0</v>
      </c>
      <c r="J22" s="3">
        <v>1</v>
      </c>
      <c r="K22" s="3">
        <v>1</v>
      </c>
      <c r="L22" s="3">
        <v>1</v>
      </c>
      <c r="M22" s="3">
        <v>1</v>
      </c>
      <c r="N22" s="3">
        <v>1</v>
      </c>
      <c r="O22" s="3">
        <v>1</v>
      </c>
      <c r="P22" s="3">
        <v>1</v>
      </c>
      <c r="Q22" s="3">
        <v>1</v>
      </c>
      <c r="R22" s="3">
        <v>1</v>
      </c>
      <c r="S22" s="3">
        <v>1</v>
      </c>
      <c r="T22" s="3">
        <v>1</v>
      </c>
      <c r="U22" s="3">
        <v>0</v>
      </c>
      <c r="V22" s="3">
        <v>0</v>
      </c>
      <c r="W22" s="3">
        <v>0</v>
      </c>
      <c r="X22" s="3">
        <v>1</v>
      </c>
      <c r="Y22" s="3">
        <v>0</v>
      </c>
      <c r="Z22" s="3">
        <v>0</v>
      </c>
      <c r="AA22" s="3">
        <v>1</v>
      </c>
      <c r="AB22" s="3">
        <v>0</v>
      </c>
    </row>
    <row r="23" spans="1:28" x14ac:dyDescent="0.25">
      <c r="A23" s="93"/>
      <c r="B23" s="85" t="s">
        <v>215</v>
      </c>
      <c r="C23" s="3">
        <v>0</v>
      </c>
      <c r="D23" s="3">
        <v>0</v>
      </c>
      <c r="E23" s="3">
        <v>1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1</v>
      </c>
      <c r="Q23" s="3">
        <v>1</v>
      </c>
      <c r="R23" s="3">
        <v>0</v>
      </c>
      <c r="S23" s="3">
        <v>1</v>
      </c>
      <c r="T23" s="3">
        <v>1</v>
      </c>
      <c r="U23" s="3">
        <v>0</v>
      </c>
      <c r="V23" s="3">
        <v>1</v>
      </c>
      <c r="W23" s="3">
        <v>1</v>
      </c>
      <c r="X23" s="3">
        <v>1</v>
      </c>
      <c r="Y23" s="3">
        <v>1</v>
      </c>
      <c r="Z23" s="3">
        <v>0</v>
      </c>
      <c r="AA23" s="3">
        <v>1</v>
      </c>
      <c r="AB23" s="3">
        <v>1</v>
      </c>
    </row>
    <row r="24" spans="1:28" x14ac:dyDescent="0.25">
      <c r="A24" s="93"/>
      <c r="B24" s="85" t="s">
        <v>216</v>
      </c>
      <c r="C24" s="3">
        <v>1</v>
      </c>
      <c r="D24" s="3">
        <v>0</v>
      </c>
      <c r="E24" s="3">
        <v>0</v>
      </c>
      <c r="F24" s="3">
        <v>1</v>
      </c>
      <c r="G24" s="3">
        <v>0</v>
      </c>
      <c r="H24" s="3">
        <v>0</v>
      </c>
      <c r="I24" s="3">
        <v>0</v>
      </c>
      <c r="J24" s="3">
        <v>1</v>
      </c>
      <c r="K24" s="3">
        <v>1</v>
      </c>
      <c r="L24" s="3">
        <v>1</v>
      </c>
      <c r="M24" s="3">
        <v>1</v>
      </c>
      <c r="N24" s="3">
        <v>1</v>
      </c>
      <c r="O24" s="3">
        <v>0</v>
      </c>
      <c r="P24" s="3">
        <v>1</v>
      </c>
      <c r="Q24" s="3">
        <v>0</v>
      </c>
      <c r="R24" s="3">
        <v>0</v>
      </c>
      <c r="S24" s="3">
        <v>1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1</v>
      </c>
      <c r="Z24" s="3">
        <v>1</v>
      </c>
      <c r="AA24" s="3">
        <v>1</v>
      </c>
      <c r="AB24" s="3">
        <v>0</v>
      </c>
    </row>
    <row r="25" spans="1:28" x14ac:dyDescent="0.25">
      <c r="A25" s="93"/>
      <c r="B25" s="85" t="s">
        <v>217</v>
      </c>
      <c r="C25" s="3">
        <v>0</v>
      </c>
      <c r="D25" s="3">
        <v>1</v>
      </c>
      <c r="E25" s="3">
        <v>0</v>
      </c>
      <c r="F25" s="3">
        <v>0</v>
      </c>
      <c r="G25" s="3">
        <v>0</v>
      </c>
      <c r="H25" s="3">
        <v>1</v>
      </c>
      <c r="I25" s="3">
        <v>1</v>
      </c>
      <c r="J25" s="3">
        <v>0</v>
      </c>
      <c r="K25" s="3">
        <v>1</v>
      </c>
      <c r="L25" s="3">
        <v>0</v>
      </c>
      <c r="M25" s="3">
        <v>1</v>
      </c>
      <c r="N25" s="3">
        <v>0</v>
      </c>
      <c r="O25" s="3">
        <v>1</v>
      </c>
      <c r="P25" s="3">
        <v>0</v>
      </c>
      <c r="Q25" s="3">
        <v>1</v>
      </c>
      <c r="R25" s="3">
        <v>0</v>
      </c>
      <c r="S25" s="3">
        <v>0</v>
      </c>
      <c r="T25" s="3">
        <v>1</v>
      </c>
      <c r="U25" s="3">
        <v>0</v>
      </c>
      <c r="V25" s="3">
        <v>1</v>
      </c>
      <c r="W25" s="3">
        <v>0</v>
      </c>
      <c r="X25" s="3">
        <v>0</v>
      </c>
      <c r="Y25" s="3">
        <v>0</v>
      </c>
      <c r="Z25" s="3">
        <v>1</v>
      </c>
      <c r="AA25" s="3">
        <v>1</v>
      </c>
      <c r="AB25" s="3">
        <v>1</v>
      </c>
    </row>
    <row r="26" spans="1:28" x14ac:dyDescent="0.25">
      <c r="A26" s="93"/>
      <c r="B26" s="85" t="s">
        <v>218</v>
      </c>
      <c r="C26" s="3">
        <v>1</v>
      </c>
      <c r="D26" s="3">
        <v>0</v>
      </c>
      <c r="E26" s="3">
        <v>1</v>
      </c>
      <c r="F26" s="3">
        <v>1</v>
      </c>
      <c r="G26" s="3">
        <v>0</v>
      </c>
      <c r="H26" s="3">
        <v>0</v>
      </c>
      <c r="I26" s="3">
        <v>0</v>
      </c>
      <c r="J26" s="3">
        <v>1</v>
      </c>
      <c r="K26" s="3">
        <v>1</v>
      </c>
      <c r="L26" s="3">
        <v>1</v>
      </c>
      <c r="M26" s="3">
        <v>1</v>
      </c>
      <c r="N26" s="3">
        <v>0</v>
      </c>
      <c r="O26" s="3">
        <v>0</v>
      </c>
      <c r="P26" s="3">
        <v>1</v>
      </c>
      <c r="Q26" s="3">
        <v>1</v>
      </c>
      <c r="R26" s="3">
        <v>0</v>
      </c>
      <c r="S26" s="3">
        <v>1</v>
      </c>
      <c r="T26" s="3">
        <v>0</v>
      </c>
      <c r="U26" s="3">
        <v>0</v>
      </c>
      <c r="V26" s="3">
        <v>1</v>
      </c>
      <c r="W26" s="3">
        <v>0</v>
      </c>
      <c r="X26" s="3">
        <v>1</v>
      </c>
      <c r="Y26" s="3">
        <v>1</v>
      </c>
      <c r="Z26" s="3">
        <v>1</v>
      </c>
      <c r="AA26" s="3">
        <v>0</v>
      </c>
      <c r="AB26" s="3">
        <v>1</v>
      </c>
    </row>
    <row r="27" spans="1:28" x14ac:dyDescent="0.25">
      <c r="A27" s="93"/>
      <c r="B27" s="85" t="s">
        <v>219</v>
      </c>
      <c r="C27" s="3">
        <v>0</v>
      </c>
      <c r="D27" s="3">
        <v>0</v>
      </c>
      <c r="E27" s="3">
        <v>1</v>
      </c>
      <c r="F27" s="3">
        <v>1</v>
      </c>
      <c r="G27" s="3">
        <v>1</v>
      </c>
      <c r="H27" s="3">
        <v>1</v>
      </c>
      <c r="I27" s="3">
        <v>0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1</v>
      </c>
      <c r="Q27" s="3">
        <v>1</v>
      </c>
      <c r="R27" s="3">
        <v>0</v>
      </c>
      <c r="S27" s="3">
        <v>1</v>
      </c>
      <c r="T27" s="3">
        <v>1</v>
      </c>
      <c r="U27" s="3">
        <v>0</v>
      </c>
      <c r="V27" s="3">
        <v>0</v>
      </c>
      <c r="W27" s="3">
        <v>0</v>
      </c>
      <c r="X27" s="3">
        <v>1</v>
      </c>
      <c r="Y27" s="3">
        <v>1</v>
      </c>
      <c r="Z27" s="3">
        <v>1</v>
      </c>
      <c r="AA27" s="3">
        <v>0</v>
      </c>
      <c r="AB27" s="3">
        <v>0</v>
      </c>
    </row>
    <row r="28" spans="1:28" x14ac:dyDescent="0.25">
      <c r="A28" s="93"/>
      <c r="B28" s="85" t="s">
        <v>220</v>
      </c>
      <c r="C28" s="3">
        <v>0</v>
      </c>
      <c r="D28" s="3">
        <v>0</v>
      </c>
      <c r="E28" s="3">
        <v>1</v>
      </c>
      <c r="F28" s="3">
        <v>0</v>
      </c>
      <c r="G28" s="3">
        <v>1</v>
      </c>
      <c r="H28" s="3">
        <v>1</v>
      </c>
      <c r="I28" s="3">
        <v>0</v>
      </c>
      <c r="J28" s="3">
        <v>1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1</v>
      </c>
      <c r="R28" s="3">
        <v>0</v>
      </c>
      <c r="S28" s="3">
        <v>0</v>
      </c>
      <c r="T28" s="3">
        <v>1</v>
      </c>
      <c r="U28" s="3">
        <v>0</v>
      </c>
      <c r="V28" s="3">
        <v>0</v>
      </c>
      <c r="W28" s="3">
        <v>1</v>
      </c>
      <c r="X28" s="3">
        <v>0</v>
      </c>
      <c r="Y28" s="3">
        <v>1</v>
      </c>
      <c r="Z28" s="3">
        <v>1</v>
      </c>
      <c r="AA28" s="3">
        <v>1</v>
      </c>
      <c r="AB28" s="3">
        <v>0</v>
      </c>
    </row>
    <row r="29" spans="1:28" x14ac:dyDescent="0.25">
      <c r="A29" s="93"/>
      <c r="B29" s="85" t="s">
        <v>221</v>
      </c>
      <c r="C29" s="3">
        <v>0</v>
      </c>
      <c r="D29" s="3">
        <v>1</v>
      </c>
      <c r="E29" s="3">
        <v>0</v>
      </c>
      <c r="F29" s="3">
        <v>0</v>
      </c>
      <c r="G29" s="3">
        <v>0</v>
      </c>
      <c r="H29" s="3">
        <v>0</v>
      </c>
      <c r="I29" s="3">
        <v>1</v>
      </c>
      <c r="J29" s="3">
        <v>1</v>
      </c>
      <c r="K29" s="3">
        <v>1</v>
      </c>
      <c r="L29" s="3">
        <v>1</v>
      </c>
      <c r="M29" s="3">
        <v>1</v>
      </c>
      <c r="N29" s="3">
        <v>1</v>
      </c>
      <c r="O29" s="3">
        <v>0</v>
      </c>
      <c r="P29" s="3">
        <v>0</v>
      </c>
      <c r="Q29" s="3">
        <v>0</v>
      </c>
      <c r="R29" s="3">
        <v>1</v>
      </c>
      <c r="S29" s="3">
        <v>1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3">
        <v>1</v>
      </c>
      <c r="AA29" s="3">
        <v>0</v>
      </c>
      <c r="AB29" s="3">
        <v>1</v>
      </c>
    </row>
    <row r="30" spans="1:28" x14ac:dyDescent="0.25">
      <c r="A30" s="93"/>
      <c r="B30" s="85" t="s">
        <v>222</v>
      </c>
      <c r="C30" s="3">
        <v>1</v>
      </c>
      <c r="D30" s="3">
        <v>0</v>
      </c>
      <c r="E30" s="3">
        <v>1</v>
      </c>
      <c r="F30" s="3">
        <v>1</v>
      </c>
      <c r="G30" s="3">
        <v>0</v>
      </c>
      <c r="H30" s="3">
        <v>1</v>
      </c>
      <c r="I30" s="3">
        <v>1</v>
      </c>
      <c r="J30" s="3">
        <v>1</v>
      </c>
      <c r="K30" s="3">
        <v>0</v>
      </c>
      <c r="L30" s="3">
        <v>0</v>
      </c>
      <c r="M30" s="3">
        <v>0</v>
      </c>
      <c r="N30" s="3">
        <v>1</v>
      </c>
      <c r="O30" s="3">
        <v>0</v>
      </c>
      <c r="P30" s="3">
        <v>0</v>
      </c>
      <c r="Q30" s="3">
        <v>1</v>
      </c>
      <c r="R30" s="3">
        <v>0</v>
      </c>
      <c r="S30" s="3">
        <v>1</v>
      </c>
      <c r="T30" s="3">
        <v>1</v>
      </c>
      <c r="U30" s="3">
        <v>0</v>
      </c>
      <c r="V30" s="3">
        <v>1</v>
      </c>
      <c r="W30" s="3">
        <v>1</v>
      </c>
      <c r="X30" s="3">
        <v>0</v>
      </c>
      <c r="Y30" s="3">
        <v>1</v>
      </c>
      <c r="Z30" s="3">
        <v>1</v>
      </c>
      <c r="AA30" s="3">
        <v>0</v>
      </c>
      <c r="AB30" s="3">
        <v>1</v>
      </c>
    </row>
    <row r="31" spans="1:28" x14ac:dyDescent="0.25">
      <c r="A31" s="93"/>
      <c r="B31" s="85" t="s">
        <v>223</v>
      </c>
      <c r="C31" s="3">
        <v>1</v>
      </c>
      <c r="D31" s="3">
        <v>1</v>
      </c>
      <c r="E31" s="3">
        <v>0</v>
      </c>
      <c r="F31" s="3">
        <v>0</v>
      </c>
      <c r="G31" s="3">
        <v>1</v>
      </c>
      <c r="H31" s="3">
        <v>0</v>
      </c>
      <c r="I31" s="3">
        <v>1</v>
      </c>
      <c r="J31" s="3">
        <v>1</v>
      </c>
      <c r="K31" s="3">
        <v>1</v>
      </c>
      <c r="L31" s="3">
        <v>0</v>
      </c>
      <c r="M31" s="3">
        <v>0</v>
      </c>
      <c r="N31" s="3">
        <v>1</v>
      </c>
      <c r="O31" s="3">
        <v>1</v>
      </c>
      <c r="P31" s="3">
        <v>1</v>
      </c>
      <c r="Q31" s="3">
        <v>1</v>
      </c>
      <c r="R31" s="3">
        <v>1</v>
      </c>
      <c r="S31" s="3">
        <v>0</v>
      </c>
      <c r="T31" s="3">
        <v>0</v>
      </c>
      <c r="U31" s="3">
        <v>0</v>
      </c>
      <c r="V31" s="3">
        <v>0</v>
      </c>
      <c r="W31" s="3">
        <v>1</v>
      </c>
      <c r="X31" s="3">
        <v>1</v>
      </c>
      <c r="Y31" s="3">
        <v>0</v>
      </c>
      <c r="Z31" s="3">
        <v>0</v>
      </c>
      <c r="AA31" s="3">
        <v>0</v>
      </c>
      <c r="AB31" s="3">
        <v>0</v>
      </c>
    </row>
    <row r="32" spans="1:28" x14ac:dyDescent="0.25">
      <c r="A32" s="93"/>
      <c r="B32" s="85" t="s">
        <v>224</v>
      </c>
      <c r="C32" s="3">
        <v>0</v>
      </c>
      <c r="D32" s="3">
        <v>1</v>
      </c>
      <c r="E32" s="3">
        <v>0</v>
      </c>
      <c r="F32" s="3">
        <v>0</v>
      </c>
      <c r="G32" s="3">
        <v>1</v>
      </c>
      <c r="H32" s="3">
        <v>1</v>
      </c>
      <c r="I32" s="3">
        <v>0</v>
      </c>
      <c r="J32" s="3">
        <v>1</v>
      </c>
      <c r="K32" s="3">
        <v>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1</v>
      </c>
      <c r="R32" s="3">
        <v>1</v>
      </c>
      <c r="S32" s="3">
        <v>0</v>
      </c>
      <c r="T32" s="3">
        <v>0</v>
      </c>
      <c r="U32" s="3">
        <v>1</v>
      </c>
      <c r="V32" s="3">
        <v>0</v>
      </c>
      <c r="W32" s="3">
        <v>0</v>
      </c>
      <c r="X32" s="3">
        <v>0</v>
      </c>
      <c r="Y32" s="3">
        <v>1</v>
      </c>
      <c r="Z32" s="3">
        <v>0</v>
      </c>
      <c r="AA32" s="3">
        <v>1</v>
      </c>
      <c r="AB32" s="3">
        <v>0</v>
      </c>
    </row>
    <row r="33" spans="1:28" x14ac:dyDescent="0.25">
      <c r="A33" s="93"/>
      <c r="B33" s="85" t="s">
        <v>225</v>
      </c>
      <c r="C33" s="3">
        <v>1</v>
      </c>
      <c r="D33" s="3">
        <v>1</v>
      </c>
      <c r="E33" s="3">
        <v>1</v>
      </c>
      <c r="F33" s="3">
        <v>0</v>
      </c>
      <c r="G33" s="3">
        <v>1</v>
      </c>
      <c r="H33" s="3">
        <v>1</v>
      </c>
      <c r="I33" s="3">
        <v>0</v>
      </c>
      <c r="J33" s="3">
        <v>1</v>
      </c>
      <c r="K33" s="3">
        <v>1</v>
      </c>
      <c r="L33" s="3">
        <v>1</v>
      </c>
      <c r="M33" s="3">
        <v>1</v>
      </c>
      <c r="N33" s="3">
        <v>1</v>
      </c>
      <c r="O33" s="3">
        <v>1</v>
      </c>
      <c r="P33" s="3">
        <v>0</v>
      </c>
      <c r="Q33" s="3">
        <v>1</v>
      </c>
      <c r="R33" s="3">
        <v>1</v>
      </c>
      <c r="S33" s="3">
        <v>1</v>
      </c>
      <c r="T33" s="3">
        <v>1</v>
      </c>
      <c r="U33" s="3">
        <v>1</v>
      </c>
      <c r="V33" s="3">
        <v>0</v>
      </c>
      <c r="W33" s="3">
        <v>1</v>
      </c>
      <c r="X33" s="3">
        <v>0</v>
      </c>
      <c r="Y33" s="3">
        <v>0</v>
      </c>
      <c r="Z33" s="3">
        <v>1</v>
      </c>
      <c r="AA33" s="3">
        <v>0</v>
      </c>
      <c r="AB33" s="3">
        <v>1</v>
      </c>
    </row>
    <row r="34" spans="1:28" x14ac:dyDescent="0.25">
      <c r="A34" s="93"/>
      <c r="B34" s="85" t="s">
        <v>226</v>
      </c>
      <c r="C34" s="3">
        <v>1</v>
      </c>
      <c r="D34" s="3">
        <v>0</v>
      </c>
      <c r="E34" s="3">
        <v>1</v>
      </c>
      <c r="F34" s="3">
        <v>0</v>
      </c>
      <c r="G34" s="3">
        <v>1</v>
      </c>
      <c r="H34" s="3">
        <v>1</v>
      </c>
      <c r="I34" s="3">
        <v>1</v>
      </c>
      <c r="J34" s="3">
        <v>1</v>
      </c>
      <c r="K34" s="3">
        <v>0</v>
      </c>
      <c r="L34" s="3">
        <v>1</v>
      </c>
      <c r="M34" s="3">
        <v>0</v>
      </c>
      <c r="N34" s="3">
        <v>0</v>
      </c>
      <c r="O34" s="3">
        <v>1</v>
      </c>
      <c r="P34" s="3">
        <v>1</v>
      </c>
      <c r="Q34" s="3">
        <v>0</v>
      </c>
      <c r="R34" s="3">
        <v>1</v>
      </c>
      <c r="S34" s="3">
        <v>0</v>
      </c>
      <c r="T34" s="3">
        <v>1</v>
      </c>
      <c r="U34" s="3">
        <v>0</v>
      </c>
      <c r="V34" s="3">
        <v>1</v>
      </c>
      <c r="W34" s="3">
        <v>0</v>
      </c>
      <c r="X34" s="3">
        <v>1</v>
      </c>
      <c r="Y34" s="3">
        <v>0</v>
      </c>
      <c r="Z34" s="3">
        <v>0</v>
      </c>
      <c r="AA34" s="3">
        <v>0</v>
      </c>
      <c r="AB34" s="3">
        <v>0</v>
      </c>
    </row>
    <row r="35" spans="1:28" x14ac:dyDescent="0.25">
      <c r="A35" s="93"/>
      <c r="B35" s="85" t="s">
        <v>227</v>
      </c>
      <c r="C35" s="3">
        <v>0</v>
      </c>
      <c r="D35" s="3">
        <v>1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1</v>
      </c>
      <c r="S35" s="3">
        <v>1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1</v>
      </c>
      <c r="AA35" s="3">
        <v>0</v>
      </c>
      <c r="AB35" s="3">
        <v>1</v>
      </c>
    </row>
    <row r="36" spans="1:28" x14ac:dyDescent="0.25">
      <c r="A36" s="93"/>
      <c r="B36" s="85" t="s">
        <v>228</v>
      </c>
      <c r="C36" s="3">
        <v>0</v>
      </c>
      <c r="D36" s="3">
        <v>1</v>
      </c>
      <c r="E36" s="3">
        <v>1</v>
      </c>
      <c r="F36" s="3">
        <v>0</v>
      </c>
      <c r="G36" s="3">
        <v>0</v>
      </c>
      <c r="H36" s="3">
        <v>1</v>
      </c>
      <c r="I36" s="3">
        <v>0</v>
      </c>
      <c r="J36" s="3">
        <v>1</v>
      </c>
      <c r="K36" s="3">
        <v>1</v>
      </c>
      <c r="L36" s="3">
        <v>1</v>
      </c>
      <c r="M36" s="3">
        <v>1</v>
      </c>
      <c r="N36" s="3">
        <v>0</v>
      </c>
      <c r="O36" s="3">
        <v>1</v>
      </c>
      <c r="P36" s="3">
        <v>1</v>
      </c>
      <c r="Q36" s="3">
        <v>1</v>
      </c>
      <c r="R36" s="3">
        <v>1</v>
      </c>
      <c r="S36" s="3">
        <v>0</v>
      </c>
      <c r="T36" s="3">
        <v>1</v>
      </c>
      <c r="U36" s="3">
        <v>1</v>
      </c>
      <c r="V36" s="3">
        <v>1</v>
      </c>
      <c r="W36" s="3">
        <v>1</v>
      </c>
      <c r="X36" s="3">
        <v>0</v>
      </c>
      <c r="Y36" s="3">
        <v>1</v>
      </c>
      <c r="Z36" s="3">
        <v>0</v>
      </c>
      <c r="AA36" s="3">
        <v>1</v>
      </c>
      <c r="AB36" s="3">
        <v>1</v>
      </c>
    </row>
    <row r="37" spans="1:28" x14ac:dyDescent="0.25">
      <c r="A37" s="93"/>
      <c r="B37" s="85" t="s">
        <v>229</v>
      </c>
      <c r="C37" s="3">
        <v>1</v>
      </c>
      <c r="D37" s="3">
        <v>1</v>
      </c>
      <c r="E37" s="3">
        <v>1</v>
      </c>
      <c r="F37" s="3">
        <v>0</v>
      </c>
      <c r="G37" s="3">
        <v>1</v>
      </c>
      <c r="H37" s="3">
        <v>1</v>
      </c>
      <c r="I37" s="3">
        <v>0</v>
      </c>
      <c r="J37" s="3">
        <v>0</v>
      </c>
      <c r="K37" s="3">
        <v>1</v>
      </c>
      <c r="L37" s="3">
        <v>0</v>
      </c>
      <c r="M37" s="3">
        <v>1</v>
      </c>
      <c r="N37" s="3">
        <v>0</v>
      </c>
      <c r="O37" s="3">
        <v>0</v>
      </c>
      <c r="P37" s="3">
        <v>1</v>
      </c>
      <c r="Q37" s="3">
        <v>0</v>
      </c>
      <c r="R37" s="3">
        <v>1</v>
      </c>
      <c r="S37" s="3">
        <v>1</v>
      </c>
      <c r="T37" s="3">
        <v>0</v>
      </c>
      <c r="U37" s="3">
        <v>1</v>
      </c>
      <c r="V37" s="3">
        <v>1</v>
      </c>
      <c r="W37" s="3">
        <v>0</v>
      </c>
      <c r="X37" s="3">
        <v>1</v>
      </c>
      <c r="Y37" s="3">
        <v>0</v>
      </c>
      <c r="Z37" s="3">
        <v>0</v>
      </c>
      <c r="AA37" s="3">
        <v>1</v>
      </c>
      <c r="AB37" s="3">
        <v>1</v>
      </c>
    </row>
    <row r="38" spans="1:28" x14ac:dyDescent="0.25">
      <c r="A38" s="93"/>
      <c r="B38" s="85" t="s">
        <v>230</v>
      </c>
      <c r="C38" s="3">
        <v>0</v>
      </c>
      <c r="D38" s="3">
        <v>1</v>
      </c>
      <c r="E38" s="3">
        <v>0</v>
      </c>
      <c r="F38" s="3">
        <v>1</v>
      </c>
      <c r="G38" s="3">
        <v>1</v>
      </c>
      <c r="H38" s="3">
        <v>0</v>
      </c>
      <c r="I38" s="3">
        <v>1</v>
      </c>
      <c r="J38" s="3">
        <v>1</v>
      </c>
      <c r="K38" s="3">
        <v>0</v>
      </c>
      <c r="L38" s="3">
        <v>1</v>
      </c>
      <c r="M38" s="3">
        <v>0</v>
      </c>
      <c r="N38" s="3">
        <v>0</v>
      </c>
      <c r="O38" s="3">
        <v>1</v>
      </c>
      <c r="P38" s="3">
        <v>0</v>
      </c>
      <c r="Q38" s="3">
        <v>0</v>
      </c>
      <c r="R38" s="3">
        <v>1</v>
      </c>
      <c r="S38" s="3">
        <v>0</v>
      </c>
      <c r="T38" s="3">
        <v>0</v>
      </c>
      <c r="U38" s="3">
        <v>0</v>
      </c>
      <c r="V38" s="3">
        <v>1</v>
      </c>
      <c r="W38" s="3">
        <v>1</v>
      </c>
      <c r="X38" s="3">
        <v>0</v>
      </c>
      <c r="Y38" s="3">
        <v>0</v>
      </c>
      <c r="Z38" s="3">
        <v>1</v>
      </c>
      <c r="AA38" s="3">
        <v>0</v>
      </c>
      <c r="AB38" s="3">
        <v>1</v>
      </c>
    </row>
    <row r="39" spans="1:28" x14ac:dyDescent="0.25">
      <c r="A39" s="93"/>
      <c r="B39" s="97" t="s">
        <v>231</v>
      </c>
      <c r="C39" s="3">
        <v>1</v>
      </c>
      <c r="D39" s="3">
        <v>1</v>
      </c>
      <c r="E39" s="3">
        <v>1</v>
      </c>
      <c r="F39" s="3">
        <v>1</v>
      </c>
      <c r="G39" s="3">
        <v>1</v>
      </c>
      <c r="H39" s="3">
        <v>0</v>
      </c>
      <c r="I39" s="3">
        <v>1</v>
      </c>
      <c r="J39" s="3">
        <v>1</v>
      </c>
      <c r="K39" s="3">
        <v>0</v>
      </c>
      <c r="L39" s="3">
        <v>1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1</v>
      </c>
      <c r="T39" s="3">
        <v>1</v>
      </c>
      <c r="U39" s="3">
        <v>1</v>
      </c>
      <c r="V39" s="3">
        <v>1</v>
      </c>
      <c r="W39" s="3">
        <v>1</v>
      </c>
      <c r="X39" s="3">
        <v>0</v>
      </c>
      <c r="Y39" s="3">
        <v>1</v>
      </c>
      <c r="Z39" s="3">
        <v>0</v>
      </c>
      <c r="AA39" s="3">
        <v>1</v>
      </c>
      <c r="AB39" s="3">
        <v>1</v>
      </c>
    </row>
    <row r="40" spans="1:28" x14ac:dyDescent="0.25">
      <c r="A40" s="93"/>
      <c r="B40" s="85" t="s">
        <v>232</v>
      </c>
      <c r="C40" s="3">
        <v>1</v>
      </c>
      <c r="D40" s="3">
        <v>0</v>
      </c>
      <c r="E40" s="3">
        <v>1</v>
      </c>
      <c r="F40" s="3">
        <v>1</v>
      </c>
      <c r="G40" s="3">
        <v>1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1</v>
      </c>
      <c r="N40" s="3">
        <v>0</v>
      </c>
      <c r="O40" s="3">
        <v>0</v>
      </c>
      <c r="P40" s="3">
        <v>1</v>
      </c>
      <c r="Q40" s="3">
        <v>0</v>
      </c>
      <c r="R40" s="3">
        <v>1</v>
      </c>
      <c r="S40" s="3">
        <v>1</v>
      </c>
      <c r="T40" s="3">
        <v>1</v>
      </c>
      <c r="U40" s="3">
        <v>1</v>
      </c>
      <c r="V40" s="3">
        <v>1</v>
      </c>
      <c r="W40" s="3">
        <v>1</v>
      </c>
      <c r="X40" s="3">
        <v>0</v>
      </c>
      <c r="Y40" s="3">
        <v>0</v>
      </c>
      <c r="Z40" s="3">
        <v>1</v>
      </c>
      <c r="AA40" s="3">
        <v>0</v>
      </c>
      <c r="AB40" s="3">
        <v>0</v>
      </c>
    </row>
    <row r="41" spans="1:28" x14ac:dyDescent="0.25">
      <c r="A41" s="93"/>
      <c r="B41" s="85" t="s">
        <v>233</v>
      </c>
      <c r="C41" s="3">
        <v>0</v>
      </c>
      <c r="D41" s="3">
        <v>0</v>
      </c>
      <c r="E41" s="3">
        <v>1</v>
      </c>
      <c r="F41" s="3">
        <v>1</v>
      </c>
      <c r="G41" s="3">
        <v>1</v>
      </c>
      <c r="H41" s="3">
        <v>0</v>
      </c>
      <c r="I41" s="3">
        <v>0</v>
      </c>
      <c r="J41" s="3">
        <v>1</v>
      </c>
      <c r="K41" s="3">
        <v>1</v>
      </c>
      <c r="L41" s="3">
        <v>0</v>
      </c>
      <c r="M41" s="3">
        <v>1</v>
      </c>
      <c r="N41" s="3">
        <v>1</v>
      </c>
      <c r="O41" s="3">
        <v>0</v>
      </c>
      <c r="P41" s="3">
        <v>0</v>
      </c>
      <c r="Q41" s="3">
        <v>0</v>
      </c>
      <c r="R41" s="3">
        <v>1</v>
      </c>
      <c r="S41" s="3">
        <v>0</v>
      </c>
      <c r="T41" s="3">
        <v>1</v>
      </c>
      <c r="U41" s="3">
        <v>0</v>
      </c>
      <c r="V41" s="3">
        <v>1</v>
      </c>
      <c r="W41" s="3">
        <v>0</v>
      </c>
      <c r="X41" s="3">
        <v>0</v>
      </c>
      <c r="Y41" s="3">
        <v>1</v>
      </c>
      <c r="Z41" s="3">
        <v>1</v>
      </c>
      <c r="AA41" s="3">
        <v>0</v>
      </c>
      <c r="AB41" s="3">
        <v>0</v>
      </c>
    </row>
    <row r="42" spans="1:28" x14ac:dyDescent="0.25">
      <c r="A42" s="93"/>
      <c r="B42" s="85" t="s">
        <v>234</v>
      </c>
      <c r="C42" s="3">
        <v>1</v>
      </c>
      <c r="D42" s="3">
        <v>0</v>
      </c>
      <c r="E42" s="3">
        <v>1</v>
      </c>
      <c r="F42" s="3">
        <v>1</v>
      </c>
      <c r="G42" s="3">
        <v>0</v>
      </c>
      <c r="H42" s="3">
        <v>1</v>
      </c>
      <c r="I42" s="3">
        <v>1</v>
      </c>
      <c r="J42" s="3">
        <v>0</v>
      </c>
      <c r="K42" s="3">
        <v>1</v>
      </c>
      <c r="L42" s="3">
        <v>1</v>
      </c>
      <c r="M42" s="3">
        <v>0</v>
      </c>
      <c r="N42" s="3">
        <v>0</v>
      </c>
      <c r="O42" s="3">
        <v>0</v>
      </c>
      <c r="P42" s="3">
        <v>1</v>
      </c>
      <c r="Q42" s="3">
        <v>1</v>
      </c>
      <c r="R42" s="3">
        <v>1</v>
      </c>
      <c r="S42" s="3">
        <v>1</v>
      </c>
      <c r="T42" s="3">
        <v>0</v>
      </c>
      <c r="U42" s="3">
        <v>0</v>
      </c>
      <c r="V42" s="3">
        <v>1</v>
      </c>
      <c r="W42" s="3">
        <v>1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</row>
    <row r="43" spans="1:28" x14ac:dyDescent="0.25">
      <c r="A43" s="93"/>
      <c r="B43" s="85" t="s">
        <v>235</v>
      </c>
      <c r="C43" s="3">
        <v>1</v>
      </c>
      <c r="D43" s="3">
        <v>0</v>
      </c>
      <c r="E43" s="3">
        <v>1</v>
      </c>
      <c r="F43" s="3">
        <v>0</v>
      </c>
      <c r="G43" s="3">
        <v>1</v>
      </c>
      <c r="H43" s="3">
        <v>0</v>
      </c>
      <c r="I43" s="3">
        <v>0</v>
      </c>
      <c r="J43" s="3">
        <v>1</v>
      </c>
      <c r="K43" s="3">
        <v>0</v>
      </c>
      <c r="L43" s="3">
        <v>0</v>
      </c>
      <c r="M43" s="3">
        <v>1</v>
      </c>
      <c r="N43" s="3">
        <v>1</v>
      </c>
      <c r="O43" s="3">
        <v>1</v>
      </c>
      <c r="P43" s="3">
        <v>0</v>
      </c>
      <c r="Q43" s="3">
        <v>1</v>
      </c>
      <c r="R43" s="3">
        <v>1</v>
      </c>
      <c r="S43" s="3">
        <v>1</v>
      </c>
      <c r="T43" s="3">
        <v>0</v>
      </c>
      <c r="U43" s="3">
        <v>0</v>
      </c>
      <c r="V43" s="3">
        <v>0</v>
      </c>
      <c r="W43" s="3">
        <v>0</v>
      </c>
      <c r="X43" s="3">
        <v>1</v>
      </c>
      <c r="Y43" s="3">
        <v>1</v>
      </c>
      <c r="Z43" s="3">
        <v>0</v>
      </c>
      <c r="AA43" s="3">
        <v>0</v>
      </c>
      <c r="AB43" s="3">
        <v>1</v>
      </c>
    </row>
    <row r="44" spans="1:28" x14ac:dyDescent="0.25">
      <c r="A44" s="93"/>
      <c r="B44" s="85" t="s">
        <v>236</v>
      </c>
      <c r="C44" s="3">
        <v>0</v>
      </c>
      <c r="D44" s="3">
        <v>1</v>
      </c>
      <c r="E44" s="3">
        <v>0</v>
      </c>
      <c r="F44" s="3">
        <v>1</v>
      </c>
      <c r="G44" s="3">
        <v>1</v>
      </c>
      <c r="H44" s="3">
        <v>1</v>
      </c>
      <c r="I44" s="3">
        <v>0</v>
      </c>
      <c r="J44" s="3">
        <v>0</v>
      </c>
      <c r="K44" s="3">
        <v>1</v>
      </c>
      <c r="L44" s="3">
        <v>0</v>
      </c>
      <c r="M44" s="3">
        <v>1</v>
      </c>
      <c r="N44" s="3">
        <v>1</v>
      </c>
      <c r="O44" s="3">
        <v>1</v>
      </c>
      <c r="P44" s="3">
        <v>1</v>
      </c>
      <c r="Q44" s="3">
        <v>1</v>
      </c>
      <c r="R44" s="3">
        <v>1</v>
      </c>
      <c r="S44" s="3">
        <v>1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1</v>
      </c>
      <c r="Z44" s="3">
        <v>1</v>
      </c>
      <c r="AA44" s="3">
        <v>0</v>
      </c>
      <c r="AB44" s="3">
        <v>0</v>
      </c>
    </row>
    <row r="45" spans="1:28" x14ac:dyDescent="0.25">
      <c r="A45" s="93"/>
      <c r="B45" s="85" t="s">
        <v>237</v>
      </c>
      <c r="C45" s="3">
        <v>0</v>
      </c>
      <c r="D45" s="3">
        <v>1</v>
      </c>
      <c r="E45" s="3">
        <v>1</v>
      </c>
      <c r="F45" s="3">
        <v>0</v>
      </c>
      <c r="G45" s="3">
        <v>0</v>
      </c>
      <c r="H45" s="3">
        <v>1</v>
      </c>
      <c r="I45" s="3">
        <v>0</v>
      </c>
      <c r="J45" s="3">
        <v>0</v>
      </c>
      <c r="K45" s="3">
        <v>1</v>
      </c>
      <c r="L45" s="3">
        <v>0</v>
      </c>
      <c r="M45" s="3">
        <v>0</v>
      </c>
      <c r="N45" s="3">
        <v>1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1</v>
      </c>
      <c r="U45" s="3">
        <v>1</v>
      </c>
      <c r="V45" s="3">
        <v>0</v>
      </c>
      <c r="W45" s="3">
        <v>1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</row>
    <row r="46" spans="1:28" x14ac:dyDescent="0.25">
      <c r="A46" s="93"/>
      <c r="B46" s="85" t="s">
        <v>238</v>
      </c>
      <c r="C46" s="3">
        <v>1</v>
      </c>
      <c r="D46" s="3">
        <v>0</v>
      </c>
      <c r="E46" s="3">
        <v>1</v>
      </c>
      <c r="F46" s="3">
        <v>0</v>
      </c>
      <c r="G46" s="3">
        <v>1</v>
      </c>
      <c r="H46" s="3">
        <v>0</v>
      </c>
      <c r="I46" s="3">
        <v>1</v>
      </c>
      <c r="J46" s="3">
        <v>0</v>
      </c>
      <c r="K46" s="3">
        <v>1</v>
      </c>
      <c r="L46" s="3">
        <v>0</v>
      </c>
      <c r="M46" s="3">
        <v>0</v>
      </c>
      <c r="N46" s="3">
        <v>1</v>
      </c>
      <c r="O46" s="3">
        <v>1</v>
      </c>
      <c r="P46" s="3">
        <v>1</v>
      </c>
      <c r="Q46" s="3">
        <v>1</v>
      </c>
      <c r="R46" s="3">
        <v>0</v>
      </c>
      <c r="S46" s="3">
        <v>1</v>
      </c>
      <c r="T46" s="3">
        <v>0</v>
      </c>
      <c r="U46" s="3">
        <v>0</v>
      </c>
      <c r="V46" s="3">
        <v>0</v>
      </c>
      <c r="W46" s="3">
        <v>1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</row>
    <row r="47" spans="1:28" x14ac:dyDescent="0.25">
      <c r="A47" s="93"/>
      <c r="B47" s="85" t="s">
        <v>239</v>
      </c>
      <c r="C47" s="3">
        <v>0</v>
      </c>
      <c r="D47" s="3">
        <v>1</v>
      </c>
      <c r="E47" s="3">
        <v>1</v>
      </c>
      <c r="F47" s="3">
        <v>1</v>
      </c>
      <c r="G47" s="3">
        <v>0</v>
      </c>
      <c r="H47" s="3">
        <v>0</v>
      </c>
      <c r="I47" s="3">
        <v>0</v>
      </c>
      <c r="J47" s="3">
        <v>1</v>
      </c>
      <c r="K47" s="3">
        <v>0</v>
      </c>
      <c r="L47" s="3">
        <v>0</v>
      </c>
      <c r="M47" s="3">
        <v>0</v>
      </c>
      <c r="N47" s="3">
        <v>0</v>
      </c>
      <c r="O47" s="3">
        <v>1</v>
      </c>
      <c r="P47" s="3">
        <v>0</v>
      </c>
      <c r="Q47" s="3">
        <v>1</v>
      </c>
      <c r="R47" s="3">
        <v>0</v>
      </c>
      <c r="S47" s="3">
        <v>1</v>
      </c>
      <c r="T47" s="3">
        <v>0</v>
      </c>
      <c r="U47" s="3">
        <v>1</v>
      </c>
      <c r="V47" s="3">
        <v>1</v>
      </c>
      <c r="W47" s="3">
        <v>0</v>
      </c>
      <c r="X47" s="3">
        <v>0</v>
      </c>
      <c r="Y47" s="3">
        <v>1</v>
      </c>
      <c r="Z47" s="3">
        <v>0</v>
      </c>
      <c r="AA47" s="3">
        <v>0</v>
      </c>
      <c r="AB47" s="3">
        <v>1</v>
      </c>
    </row>
    <row r="48" spans="1:28" x14ac:dyDescent="0.25">
      <c r="A48" s="93"/>
      <c r="B48" s="85" t="s">
        <v>240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1</v>
      </c>
      <c r="I48" s="3">
        <v>0</v>
      </c>
      <c r="J48" s="3">
        <v>0</v>
      </c>
      <c r="K48" s="3">
        <v>1</v>
      </c>
      <c r="L48" s="3">
        <v>1</v>
      </c>
      <c r="M48" s="3">
        <v>1</v>
      </c>
      <c r="N48" s="3">
        <v>0</v>
      </c>
      <c r="O48" s="3">
        <v>0</v>
      </c>
      <c r="P48" s="3">
        <v>1</v>
      </c>
      <c r="Q48" s="3">
        <v>0</v>
      </c>
      <c r="R48" s="3">
        <v>0</v>
      </c>
      <c r="S48" s="3">
        <v>0</v>
      </c>
      <c r="T48" s="3">
        <v>1</v>
      </c>
      <c r="U48" s="3">
        <v>0</v>
      </c>
      <c r="V48" s="3">
        <v>1</v>
      </c>
      <c r="W48" s="3">
        <v>1</v>
      </c>
      <c r="X48" s="3">
        <v>0</v>
      </c>
      <c r="Y48" s="3">
        <v>0</v>
      </c>
      <c r="Z48" s="3">
        <v>1</v>
      </c>
      <c r="AA48" s="3">
        <v>1</v>
      </c>
      <c r="AB48" s="3">
        <v>0</v>
      </c>
    </row>
    <row r="49" spans="1:28" x14ac:dyDescent="0.25">
      <c r="A49" s="93"/>
      <c r="B49" s="85" t="s">
        <v>241</v>
      </c>
      <c r="C49" s="3">
        <v>1</v>
      </c>
      <c r="D49" s="3">
        <v>1</v>
      </c>
      <c r="E49" s="3">
        <v>0</v>
      </c>
      <c r="F49" s="3">
        <v>1</v>
      </c>
      <c r="G49" s="3">
        <v>0</v>
      </c>
      <c r="H49" s="3">
        <v>1</v>
      </c>
      <c r="I49" s="3">
        <v>1</v>
      </c>
      <c r="J49" s="3">
        <v>0</v>
      </c>
      <c r="K49" s="3">
        <v>1</v>
      </c>
      <c r="L49" s="3">
        <v>1</v>
      </c>
      <c r="M49" s="3">
        <v>0</v>
      </c>
      <c r="N49" s="3">
        <v>1</v>
      </c>
      <c r="O49" s="3">
        <v>0</v>
      </c>
      <c r="P49" s="3">
        <v>1</v>
      </c>
      <c r="Q49" s="3">
        <v>0</v>
      </c>
      <c r="R49" s="3">
        <v>1</v>
      </c>
      <c r="S49" s="3">
        <v>0</v>
      </c>
      <c r="T49" s="3">
        <v>1</v>
      </c>
      <c r="U49" s="3">
        <v>0</v>
      </c>
      <c r="V49" s="3">
        <v>1</v>
      </c>
      <c r="W49" s="3">
        <v>1</v>
      </c>
      <c r="X49" s="3">
        <v>1</v>
      </c>
      <c r="Y49" s="3">
        <v>1</v>
      </c>
      <c r="Z49" s="3">
        <v>1</v>
      </c>
      <c r="AA49" s="3">
        <v>0</v>
      </c>
      <c r="AB49" s="3">
        <v>1</v>
      </c>
    </row>
    <row r="50" spans="1:28" x14ac:dyDescent="0.25">
      <c r="A50" s="93"/>
      <c r="B50" s="85" t="s">
        <v>242</v>
      </c>
      <c r="C50" s="3">
        <v>1</v>
      </c>
      <c r="D50" s="3">
        <v>1</v>
      </c>
      <c r="E50" s="3">
        <v>1</v>
      </c>
      <c r="F50" s="3">
        <v>0</v>
      </c>
      <c r="G50" s="3">
        <v>1</v>
      </c>
      <c r="H50" s="3">
        <v>0</v>
      </c>
      <c r="I50" s="3">
        <v>1</v>
      </c>
      <c r="J50" s="3">
        <v>0</v>
      </c>
      <c r="K50" s="3">
        <v>1</v>
      </c>
      <c r="L50" s="3">
        <v>1</v>
      </c>
      <c r="M50" s="3">
        <v>1</v>
      </c>
      <c r="N50" s="3">
        <v>0</v>
      </c>
      <c r="O50" s="3">
        <v>1</v>
      </c>
      <c r="P50" s="3">
        <v>0</v>
      </c>
      <c r="Q50" s="3">
        <v>1</v>
      </c>
      <c r="R50" s="3">
        <v>1</v>
      </c>
      <c r="S50" s="3">
        <v>0</v>
      </c>
      <c r="T50" s="3">
        <v>1</v>
      </c>
      <c r="U50" s="3">
        <v>1</v>
      </c>
      <c r="V50" s="3">
        <v>0</v>
      </c>
      <c r="W50" s="3">
        <v>0</v>
      </c>
      <c r="X50" s="3">
        <v>0</v>
      </c>
      <c r="Y50" s="3">
        <v>0</v>
      </c>
      <c r="Z50" s="3">
        <v>1</v>
      </c>
      <c r="AA50" s="3">
        <v>1</v>
      </c>
      <c r="AB50" s="3">
        <v>1</v>
      </c>
    </row>
    <row r="51" spans="1:28" x14ac:dyDescent="0.25">
      <c r="A51" s="93"/>
      <c r="B51" s="97" t="s">
        <v>243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1</v>
      </c>
      <c r="J51" s="3">
        <v>0</v>
      </c>
      <c r="K51" s="3">
        <v>1</v>
      </c>
      <c r="L51" s="3">
        <v>1</v>
      </c>
      <c r="M51" s="3">
        <v>1</v>
      </c>
      <c r="N51" s="3">
        <v>0</v>
      </c>
      <c r="O51" s="3">
        <v>1</v>
      </c>
      <c r="P51" s="3">
        <v>1</v>
      </c>
      <c r="Q51" s="3">
        <v>1</v>
      </c>
      <c r="R51" s="3">
        <v>1</v>
      </c>
      <c r="S51" s="3">
        <v>1</v>
      </c>
      <c r="T51" s="3">
        <v>0</v>
      </c>
      <c r="U51" s="3">
        <v>1</v>
      </c>
      <c r="V51" s="3">
        <v>1</v>
      </c>
      <c r="W51" s="3">
        <v>1</v>
      </c>
      <c r="X51" s="3">
        <v>0</v>
      </c>
      <c r="Y51" s="3">
        <v>0</v>
      </c>
      <c r="Z51" s="3">
        <v>1</v>
      </c>
      <c r="AA51" s="3">
        <v>1</v>
      </c>
      <c r="AB51" s="3">
        <v>1</v>
      </c>
    </row>
    <row r="52" spans="1:28" x14ac:dyDescent="0.25">
      <c r="A52" s="32"/>
      <c r="B52" s="33"/>
    </row>
    <row r="53" spans="1:28" x14ac:dyDescent="0.25">
      <c r="A53" s="32"/>
      <c r="B53" s="33"/>
    </row>
    <row r="54" spans="1:28" x14ac:dyDescent="0.25">
      <c r="A54" s="32"/>
      <c r="B54" s="33"/>
    </row>
    <row r="55" spans="1:28" x14ac:dyDescent="0.25">
      <c r="A55" s="32"/>
      <c r="B55" s="33"/>
    </row>
    <row r="56" spans="1:28" x14ac:dyDescent="0.25">
      <c r="A56" s="32"/>
      <c r="B56" s="33"/>
    </row>
    <row r="57" spans="1:28" x14ac:dyDescent="0.25">
      <c r="A57" s="32"/>
      <c r="B57" s="33"/>
    </row>
    <row r="58" spans="1:28" x14ac:dyDescent="0.25">
      <c r="A58" s="32"/>
      <c r="B58" s="33"/>
    </row>
    <row r="59" spans="1:28" x14ac:dyDescent="0.25">
      <c r="A59" s="32"/>
      <c r="B59" s="33"/>
    </row>
    <row r="60" spans="1:28" x14ac:dyDescent="0.25">
      <c r="A60" s="32"/>
      <c r="B60" s="33"/>
    </row>
    <row r="61" spans="1:28" x14ac:dyDescent="0.25">
      <c r="A61" s="32"/>
      <c r="B61" s="33"/>
    </row>
    <row r="62" spans="1:28" x14ac:dyDescent="0.25">
      <c r="A62" s="32"/>
      <c r="B62" s="33"/>
    </row>
    <row r="63" spans="1:28" x14ac:dyDescent="0.25">
      <c r="A63" s="32"/>
      <c r="B63" s="33"/>
    </row>
    <row r="64" spans="1:28" x14ac:dyDescent="0.25">
      <c r="A64" s="32"/>
      <c r="B64" s="33"/>
    </row>
    <row r="65" spans="1:2" x14ac:dyDescent="0.25">
      <c r="A65" s="32"/>
      <c r="B65" s="33"/>
    </row>
    <row r="66" spans="1:2" x14ac:dyDescent="0.25">
      <c r="A66" s="32"/>
      <c r="B66" s="33"/>
    </row>
    <row r="67" spans="1:2" x14ac:dyDescent="0.25">
      <c r="A67" s="32"/>
      <c r="B67" s="33"/>
    </row>
    <row r="68" spans="1:2" x14ac:dyDescent="0.25">
      <c r="A68" s="32"/>
      <c r="B68" s="33"/>
    </row>
    <row r="69" spans="1:2" x14ac:dyDescent="0.25">
      <c r="A69" s="32"/>
      <c r="B69" s="33"/>
    </row>
    <row r="70" spans="1:2" x14ac:dyDescent="0.25">
      <c r="A70" s="32"/>
      <c r="B70" s="33"/>
    </row>
    <row r="71" spans="1:2" x14ac:dyDescent="0.25">
      <c r="A71" s="32"/>
      <c r="B71" s="33"/>
    </row>
    <row r="72" spans="1:2" x14ac:dyDescent="0.25">
      <c r="A72" s="32"/>
      <c r="B72" s="33"/>
    </row>
    <row r="73" spans="1:2" x14ac:dyDescent="0.25">
      <c r="A73" s="32"/>
      <c r="B73" s="33"/>
    </row>
    <row r="74" spans="1:2" x14ac:dyDescent="0.25">
      <c r="A74" s="32"/>
      <c r="B74" s="33"/>
    </row>
    <row r="75" spans="1:2" x14ac:dyDescent="0.25">
      <c r="A75" s="32"/>
      <c r="B75" s="33"/>
    </row>
    <row r="76" spans="1:2" x14ac:dyDescent="0.25">
      <c r="A76" s="32"/>
      <c r="B76" s="33"/>
    </row>
    <row r="77" spans="1:2" x14ac:dyDescent="0.25">
      <c r="A77" s="32"/>
      <c r="B77" s="33"/>
    </row>
    <row r="78" spans="1:2" x14ac:dyDescent="0.25">
      <c r="A78" s="32"/>
      <c r="B78" s="33"/>
    </row>
    <row r="79" spans="1:2" x14ac:dyDescent="0.25">
      <c r="A79" s="32"/>
      <c r="B79" s="33"/>
    </row>
    <row r="80" spans="1:2" x14ac:dyDescent="0.25">
      <c r="A80" s="32"/>
      <c r="B80" s="33"/>
    </row>
    <row r="81" spans="1:2" x14ac:dyDescent="0.25">
      <c r="A81" s="32"/>
      <c r="B81" s="33"/>
    </row>
    <row r="82" spans="1:2" x14ac:dyDescent="0.25">
      <c r="A82" s="32"/>
      <c r="B82" s="33"/>
    </row>
    <row r="83" spans="1:2" x14ac:dyDescent="0.25">
      <c r="A83" s="32"/>
      <c r="B83" s="33"/>
    </row>
    <row r="84" spans="1:2" x14ac:dyDescent="0.25">
      <c r="A84" s="32"/>
      <c r="B84" s="33"/>
    </row>
    <row r="85" spans="1:2" x14ac:dyDescent="0.25">
      <c r="A85" s="32"/>
      <c r="B85" s="33"/>
    </row>
    <row r="86" spans="1:2" x14ac:dyDescent="0.25">
      <c r="A86" s="32"/>
      <c r="B86" s="33"/>
    </row>
    <row r="87" spans="1:2" x14ac:dyDescent="0.25">
      <c r="A87" s="32"/>
      <c r="B87" s="33"/>
    </row>
    <row r="88" spans="1:2" x14ac:dyDescent="0.25">
      <c r="A88" s="32"/>
      <c r="B88" s="33"/>
    </row>
    <row r="89" spans="1:2" x14ac:dyDescent="0.25">
      <c r="A89" s="32"/>
      <c r="B89" s="33"/>
    </row>
    <row r="90" spans="1:2" x14ac:dyDescent="0.25">
      <c r="A90" s="32"/>
      <c r="B90" s="33"/>
    </row>
    <row r="91" spans="1:2" x14ac:dyDescent="0.25">
      <c r="A91" s="32"/>
      <c r="B91" s="33"/>
    </row>
    <row r="92" spans="1:2" x14ac:dyDescent="0.25">
      <c r="A92" s="32"/>
      <c r="B92" s="33"/>
    </row>
    <row r="93" spans="1:2" x14ac:dyDescent="0.25">
      <c r="A93" s="32"/>
      <c r="B93" s="33"/>
    </row>
    <row r="94" spans="1:2" x14ac:dyDescent="0.25">
      <c r="A94" s="32"/>
      <c r="B94" s="33"/>
    </row>
    <row r="95" spans="1:2" x14ac:dyDescent="0.25">
      <c r="A95" s="32"/>
      <c r="B95" s="33"/>
    </row>
    <row r="96" spans="1:2" x14ac:dyDescent="0.25">
      <c r="A96" s="32"/>
      <c r="B96" s="33"/>
    </row>
    <row r="97" spans="1:2" x14ac:dyDescent="0.25">
      <c r="A97" s="32"/>
      <c r="B97" s="33"/>
    </row>
    <row r="98" spans="1:2" x14ac:dyDescent="0.25">
      <c r="A98" s="32"/>
      <c r="B98" s="33"/>
    </row>
    <row r="99" spans="1:2" x14ac:dyDescent="0.25">
      <c r="A99" s="32"/>
      <c r="B99" s="33"/>
    </row>
    <row r="100" spans="1:2" x14ac:dyDescent="0.25">
      <c r="A100" s="32"/>
      <c r="B100" s="33"/>
    </row>
    <row r="101" spans="1:2" x14ac:dyDescent="0.25">
      <c r="A101" s="32"/>
    </row>
    <row r="102" spans="1:2" x14ac:dyDescent="0.25">
      <c r="A102" s="32"/>
    </row>
    <row r="103" spans="1:2" x14ac:dyDescent="0.25">
      <c r="A103" s="32"/>
    </row>
    <row r="104" spans="1:2" x14ac:dyDescent="0.25">
      <c r="A104" s="32"/>
    </row>
    <row r="105" spans="1:2" x14ac:dyDescent="0.25">
      <c r="A105" s="32"/>
    </row>
    <row r="106" spans="1:2" x14ac:dyDescent="0.25">
      <c r="A106" s="32"/>
    </row>
    <row r="107" spans="1:2" x14ac:dyDescent="0.25">
      <c r="A107" s="32"/>
    </row>
    <row r="108" spans="1:2" x14ac:dyDescent="0.25">
      <c r="A108" s="32"/>
    </row>
    <row r="109" spans="1:2" x14ac:dyDescent="0.25">
      <c r="A109" s="32"/>
    </row>
    <row r="110" spans="1:2" x14ac:dyDescent="0.25">
      <c r="A110" s="32"/>
    </row>
    <row r="111" spans="1:2" x14ac:dyDescent="0.25">
      <c r="A111" s="32"/>
    </row>
    <row r="112" spans="1:2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  <row r="155" spans="1:1" x14ac:dyDescent="0.25">
      <c r="A155" s="32"/>
    </row>
    <row r="156" spans="1:1" x14ac:dyDescent="0.25">
      <c r="A156" s="32"/>
    </row>
    <row r="157" spans="1:1" x14ac:dyDescent="0.25">
      <c r="A157" s="32"/>
    </row>
    <row r="158" spans="1:1" x14ac:dyDescent="0.25">
      <c r="A158" s="32"/>
    </row>
    <row r="159" spans="1:1" x14ac:dyDescent="0.25">
      <c r="A159" s="32"/>
    </row>
    <row r="160" spans="1:1" x14ac:dyDescent="0.25">
      <c r="A160" s="32"/>
    </row>
    <row r="161" spans="1:1" x14ac:dyDescent="0.25">
      <c r="A161" s="32"/>
    </row>
    <row r="162" spans="1:1" x14ac:dyDescent="0.25">
      <c r="A162" s="32"/>
    </row>
    <row r="163" spans="1:1" x14ac:dyDescent="0.25">
      <c r="A163" s="32"/>
    </row>
    <row r="164" spans="1:1" x14ac:dyDescent="0.25">
      <c r="A164" s="32"/>
    </row>
    <row r="165" spans="1:1" x14ac:dyDescent="0.25">
      <c r="A165" s="32"/>
    </row>
    <row r="166" spans="1:1" x14ac:dyDescent="0.25">
      <c r="A166" s="32"/>
    </row>
    <row r="167" spans="1:1" x14ac:dyDescent="0.25">
      <c r="A167" s="32"/>
    </row>
    <row r="168" spans="1:1" x14ac:dyDescent="0.25">
      <c r="A168" s="32"/>
    </row>
    <row r="169" spans="1:1" x14ac:dyDescent="0.25">
      <c r="A169" s="32"/>
    </row>
    <row r="170" spans="1:1" x14ac:dyDescent="0.25">
      <c r="A170" s="32"/>
    </row>
    <row r="171" spans="1:1" x14ac:dyDescent="0.25">
      <c r="A171" s="32"/>
    </row>
    <row r="172" spans="1:1" x14ac:dyDescent="0.25">
      <c r="A172" s="32"/>
    </row>
    <row r="173" spans="1:1" x14ac:dyDescent="0.25">
      <c r="A173" s="32"/>
    </row>
    <row r="174" spans="1:1" x14ac:dyDescent="0.25">
      <c r="A174" s="32"/>
    </row>
    <row r="175" spans="1:1" x14ac:dyDescent="0.25">
      <c r="A175" s="32"/>
    </row>
    <row r="176" spans="1:1" x14ac:dyDescent="0.25">
      <c r="A176" s="32"/>
    </row>
    <row r="177" spans="1:1" x14ac:dyDescent="0.25">
      <c r="A177" s="32"/>
    </row>
    <row r="178" spans="1:1" x14ac:dyDescent="0.25">
      <c r="A178" s="32"/>
    </row>
    <row r="179" spans="1:1" x14ac:dyDescent="0.25">
      <c r="A179" s="32"/>
    </row>
    <row r="180" spans="1:1" x14ac:dyDescent="0.25">
      <c r="A180" s="32"/>
    </row>
    <row r="181" spans="1:1" x14ac:dyDescent="0.25">
      <c r="A181" s="32"/>
    </row>
    <row r="182" spans="1:1" x14ac:dyDescent="0.25">
      <c r="A182" s="32"/>
    </row>
    <row r="183" spans="1:1" x14ac:dyDescent="0.25">
      <c r="A183" s="32"/>
    </row>
    <row r="184" spans="1:1" x14ac:dyDescent="0.25">
      <c r="A184" s="32"/>
    </row>
    <row r="185" spans="1:1" x14ac:dyDescent="0.25">
      <c r="A185" s="32"/>
    </row>
    <row r="186" spans="1:1" x14ac:dyDescent="0.25">
      <c r="A186" s="32"/>
    </row>
    <row r="187" spans="1:1" x14ac:dyDescent="0.25">
      <c r="A187" s="32"/>
    </row>
    <row r="188" spans="1:1" x14ac:dyDescent="0.25">
      <c r="A188" s="32"/>
    </row>
    <row r="189" spans="1:1" x14ac:dyDescent="0.25">
      <c r="A189" s="32"/>
    </row>
    <row r="190" spans="1:1" x14ac:dyDescent="0.25">
      <c r="A190" s="32"/>
    </row>
    <row r="191" spans="1:1" x14ac:dyDescent="0.25">
      <c r="A191" s="32"/>
    </row>
    <row r="192" spans="1:1" x14ac:dyDescent="0.25">
      <c r="A192" s="32"/>
    </row>
    <row r="193" spans="1:1" x14ac:dyDescent="0.25">
      <c r="A193" s="32"/>
    </row>
    <row r="194" spans="1:1" x14ac:dyDescent="0.25">
      <c r="A194" s="32"/>
    </row>
    <row r="195" spans="1:1" x14ac:dyDescent="0.25">
      <c r="A195" s="32"/>
    </row>
    <row r="196" spans="1:1" x14ac:dyDescent="0.25">
      <c r="A196" s="32"/>
    </row>
    <row r="197" spans="1:1" x14ac:dyDescent="0.25">
      <c r="A197" s="32"/>
    </row>
    <row r="198" spans="1:1" x14ac:dyDescent="0.25">
      <c r="A198" s="32"/>
    </row>
    <row r="199" spans="1:1" x14ac:dyDescent="0.25">
      <c r="A199" s="32"/>
    </row>
    <row r="200" spans="1:1" x14ac:dyDescent="0.25">
      <c r="A200" s="32"/>
    </row>
  </sheetData>
  <conditionalFormatting sqref="C2:AB5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3"/>
  <dimension ref="A1:X101"/>
  <sheetViews>
    <sheetView zoomScale="85" zoomScaleNormal="85" workbookViewId="0">
      <selection activeCell="O48" sqref="O48"/>
    </sheetView>
  </sheetViews>
  <sheetFormatPr defaultRowHeight="15" x14ac:dyDescent="0.25"/>
  <cols>
    <col min="1" max="2" width="9.140625" style="28"/>
    <col min="3" max="3" width="9.140625" style="29"/>
    <col min="4" max="5" width="9.140625" style="3"/>
    <col min="6" max="16384" width="9.140625" style="1"/>
  </cols>
  <sheetData>
    <row r="1" spans="1:24" s="27" customFormat="1" x14ac:dyDescent="0.25">
      <c r="A1" s="28"/>
      <c r="B1" s="28"/>
      <c r="C1" s="27">
        <v>0</v>
      </c>
      <c r="D1" s="27">
        <v>0</v>
      </c>
      <c r="E1" s="27">
        <v>0</v>
      </c>
      <c r="F1" s="27">
        <v>0</v>
      </c>
      <c r="G1" s="27">
        <v>0</v>
      </c>
      <c r="H1" s="27">
        <v>0</v>
      </c>
      <c r="I1" s="27">
        <v>0</v>
      </c>
      <c r="J1" s="27">
        <v>0</v>
      </c>
    </row>
    <row r="2" spans="1:24" s="28" customFormat="1" x14ac:dyDescent="0.25">
      <c r="C2" s="30">
        <v>23</v>
      </c>
      <c r="D2" s="28">
        <v>24</v>
      </c>
      <c r="E2" s="28">
        <v>32</v>
      </c>
      <c r="F2" s="28">
        <v>22</v>
      </c>
      <c r="G2" s="28">
        <v>26</v>
      </c>
      <c r="H2" s="28">
        <v>27</v>
      </c>
      <c r="I2" s="28">
        <v>22</v>
      </c>
      <c r="J2" s="28">
        <v>30</v>
      </c>
    </row>
    <row r="3" spans="1:24" s="28" customFormat="1" x14ac:dyDescent="0.25">
      <c r="C3" s="30" t="s">
        <v>0</v>
      </c>
      <c r="D3" s="28" t="s">
        <v>1</v>
      </c>
      <c r="E3" s="28" t="s">
        <v>2</v>
      </c>
      <c r="F3" s="28" t="s">
        <v>3</v>
      </c>
      <c r="G3" s="28" t="s">
        <v>5</v>
      </c>
      <c r="H3" s="28" t="s">
        <v>4</v>
      </c>
      <c r="I3" s="28" t="s">
        <v>13</v>
      </c>
      <c r="J3" s="28" t="s">
        <v>14</v>
      </c>
    </row>
    <row r="4" spans="1:24" x14ac:dyDescent="0.25">
      <c r="A4" s="31">
        <v>1</v>
      </c>
      <c r="B4" s="28" t="s">
        <v>194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2">
        <v>0</v>
      </c>
      <c r="I4" s="32">
        <v>0</v>
      </c>
      <c r="J4" s="19">
        <v>1</v>
      </c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</row>
    <row r="5" spans="1:24" x14ac:dyDescent="0.25">
      <c r="A5" s="28">
        <v>5</v>
      </c>
      <c r="B5" s="28" t="s">
        <v>195</v>
      </c>
      <c r="C5" s="18">
        <v>1</v>
      </c>
      <c r="D5" s="32">
        <v>0</v>
      </c>
      <c r="E5" s="18">
        <v>1</v>
      </c>
      <c r="F5" s="18">
        <v>1</v>
      </c>
      <c r="G5" s="32">
        <v>0</v>
      </c>
      <c r="H5" s="19">
        <v>1</v>
      </c>
      <c r="I5" s="32">
        <v>0</v>
      </c>
      <c r="J5" s="18">
        <v>1</v>
      </c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</row>
    <row r="6" spans="1:24" x14ac:dyDescent="0.25">
      <c r="A6" s="28">
        <v>5</v>
      </c>
      <c r="B6" s="28" t="s">
        <v>196</v>
      </c>
      <c r="C6" s="32">
        <v>0</v>
      </c>
      <c r="D6" s="18">
        <v>1</v>
      </c>
      <c r="E6" s="18">
        <v>1</v>
      </c>
      <c r="F6" s="18">
        <v>1</v>
      </c>
      <c r="G6" s="32">
        <v>0</v>
      </c>
      <c r="H6" s="18">
        <v>1</v>
      </c>
      <c r="I6" s="32">
        <v>0</v>
      </c>
      <c r="J6" s="19">
        <v>1</v>
      </c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</row>
    <row r="7" spans="1:24" x14ac:dyDescent="0.25">
      <c r="A7" s="28">
        <v>3</v>
      </c>
      <c r="B7" s="28" t="s">
        <v>197</v>
      </c>
      <c r="C7" s="32">
        <v>0</v>
      </c>
      <c r="D7" s="32">
        <v>0</v>
      </c>
      <c r="E7" s="32">
        <v>0</v>
      </c>
      <c r="F7" s="32">
        <v>0</v>
      </c>
      <c r="G7" s="19">
        <v>1</v>
      </c>
      <c r="H7" s="32">
        <v>0</v>
      </c>
      <c r="I7" s="18">
        <v>1</v>
      </c>
      <c r="J7" s="18">
        <v>1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</row>
    <row r="8" spans="1:24" x14ac:dyDescent="0.25">
      <c r="A8" s="28">
        <v>4</v>
      </c>
      <c r="B8" s="28" t="s">
        <v>198</v>
      </c>
      <c r="C8" s="24">
        <v>0</v>
      </c>
      <c r="D8" s="24">
        <v>0</v>
      </c>
      <c r="E8" s="24">
        <v>0</v>
      </c>
      <c r="F8" s="35">
        <v>1</v>
      </c>
      <c r="G8" s="24">
        <v>0</v>
      </c>
      <c r="H8" s="34">
        <v>1</v>
      </c>
      <c r="I8" s="18">
        <v>1</v>
      </c>
      <c r="J8" s="18">
        <v>1</v>
      </c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</row>
    <row r="9" spans="1:24" x14ac:dyDescent="0.25">
      <c r="A9" s="28">
        <v>4</v>
      </c>
      <c r="B9" s="28" t="s">
        <v>199</v>
      </c>
      <c r="C9" s="34">
        <v>1</v>
      </c>
      <c r="D9" s="24">
        <v>0</v>
      </c>
      <c r="E9" s="34">
        <v>1</v>
      </c>
      <c r="F9" s="24">
        <v>0</v>
      </c>
      <c r="G9" s="35">
        <v>1</v>
      </c>
      <c r="H9" s="24">
        <v>0</v>
      </c>
      <c r="I9" s="32">
        <v>0</v>
      </c>
      <c r="J9" s="18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</row>
    <row r="10" spans="1:24" x14ac:dyDescent="0.25">
      <c r="A10" s="28">
        <v>3</v>
      </c>
      <c r="B10" s="28" t="s">
        <v>200</v>
      </c>
      <c r="C10" s="24">
        <v>0</v>
      </c>
      <c r="D10" s="24">
        <v>0</v>
      </c>
      <c r="E10" s="34">
        <v>1</v>
      </c>
      <c r="F10" s="24">
        <v>0</v>
      </c>
      <c r="G10" s="35">
        <v>1</v>
      </c>
      <c r="H10" s="24">
        <v>0</v>
      </c>
      <c r="I10" s="32">
        <v>0</v>
      </c>
      <c r="J10" s="18">
        <v>1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</row>
    <row r="11" spans="1:24" x14ac:dyDescent="0.25">
      <c r="A11" s="28">
        <v>5</v>
      </c>
      <c r="B11" s="28" t="s">
        <v>201</v>
      </c>
      <c r="C11" s="34">
        <v>1</v>
      </c>
      <c r="D11" s="24">
        <v>0</v>
      </c>
      <c r="E11" s="34">
        <v>1</v>
      </c>
      <c r="F11" s="34">
        <v>1</v>
      </c>
      <c r="G11" s="35">
        <v>1</v>
      </c>
      <c r="H11" s="24">
        <v>0</v>
      </c>
      <c r="I11" s="18">
        <v>1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</row>
    <row r="12" spans="1:24" x14ac:dyDescent="0.25">
      <c r="A12" s="28">
        <v>5</v>
      </c>
      <c r="B12" s="28" t="s">
        <v>202</v>
      </c>
      <c r="C12" s="34">
        <v>1</v>
      </c>
      <c r="D12" s="34">
        <v>1</v>
      </c>
      <c r="E12" s="35">
        <v>1</v>
      </c>
      <c r="F12" s="34">
        <v>1</v>
      </c>
      <c r="G12" s="24">
        <v>0</v>
      </c>
      <c r="H12" s="34">
        <v>1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</row>
    <row r="13" spans="1:24" x14ac:dyDescent="0.25">
      <c r="A13" s="28">
        <v>2</v>
      </c>
      <c r="B13" s="28" t="s">
        <v>203</v>
      </c>
      <c r="C13" s="34">
        <v>1</v>
      </c>
      <c r="D13" s="24">
        <v>0</v>
      </c>
      <c r="E13" s="24">
        <v>0</v>
      </c>
      <c r="F13" s="24">
        <v>0</v>
      </c>
      <c r="G13" s="24">
        <v>0</v>
      </c>
      <c r="H13" s="35">
        <v>1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</row>
    <row r="14" spans="1:24" x14ac:dyDescent="0.25">
      <c r="A14" s="28">
        <v>5</v>
      </c>
      <c r="B14" s="28" t="s">
        <v>204</v>
      </c>
      <c r="C14" s="24">
        <v>0</v>
      </c>
      <c r="D14" s="34">
        <v>1</v>
      </c>
      <c r="E14" s="34">
        <v>1</v>
      </c>
      <c r="F14" s="24">
        <v>0</v>
      </c>
      <c r="G14" s="34">
        <v>1</v>
      </c>
      <c r="H14" s="24">
        <v>0</v>
      </c>
      <c r="I14" s="19">
        <v>1</v>
      </c>
      <c r="J14" s="18">
        <v>1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</row>
    <row r="15" spans="1:24" x14ac:dyDescent="0.25">
      <c r="A15" s="28">
        <v>0</v>
      </c>
      <c r="B15" s="28" t="s">
        <v>205</v>
      </c>
      <c r="C15" s="24">
        <v>0</v>
      </c>
      <c r="D15" s="24">
        <v>0</v>
      </c>
      <c r="E15" s="24">
        <v>0</v>
      </c>
      <c r="F15" s="24">
        <v>0</v>
      </c>
      <c r="G15" s="24">
        <v>0</v>
      </c>
      <c r="H15" s="24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</row>
    <row r="16" spans="1:24" x14ac:dyDescent="0.25">
      <c r="A16" s="28">
        <v>6</v>
      </c>
      <c r="B16" s="28" t="s">
        <v>206</v>
      </c>
      <c r="C16" s="34">
        <v>1</v>
      </c>
      <c r="D16" s="35">
        <v>1</v>
      </c>
      <c r="E16" s="24">
        <v>0</v>
      </c>
      <c r="F16" s="24">
        <v>0</v>
      </c>
      <c r="G16" s="34">
        <v>1</v>
      </c>
      <c r="H16" s="34">
        <v>1</v>
      </c>
      <c r="I16" s="18">
        <v>1</v>
      </c>
      <c r="J16" s="18">
        <v>1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</row>
    <row r="17" spans="1:24" x14ac:dyDescent="0.25">
      <c r="A17" s="28">
        <v>7</v>
      </c>
      <c r="B17" s="28" t="s">
        <v>207</v>
      </c>
      <c r="C17" s="34">
        <v>1</v>
      </c>
      <c r="D17" s="34">
        <v>1</v>
      </c>
      <c r="E17" s="35">
        <v>1</v>
      </c>
      <c r="F17" s="24">
        <v>0</v>
      </c>
      <c r="G17" s="34">
        <v>1</v>
      </c>
      <c r="H17" s="34">
        <v>1</v>
      </c>
      <c r="I17" s="18">
        <v>1</v>
      </c>
      <c r="J17" s="18">
        <v>1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</row>
    <row r="18" spans="1:24" x14ac:dyDescent="0.25">
      <c r="A18" s="28">
        <v>5</v>
      </c>
      <c r="B18" s="28" t="s">
        <v>208</v>
      </c>
      <c r="C18" s="24">
        <v>0</v>
      </c>
      <c r="D18" s="34">
        <v>1</v>
      </c>
      <c r="E18" s="34">
        <v>1</v>
      </c>
      <c r="F18" s="35">
        <v>1</v>
      </c>
      <c r="G18" s="24">
        <v>0</v>
      </c>
      <c r="H18" s="34">
        <v>1</v>
      </c>
      <c r="I18" s="18">
        <v>1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</row>
    <row r="19" spans="1:24" x14ac:dyDescent="0.25">
      <c r="A19" s="28">
        <v>3</v>
      </c>
      <c r="B19" s="28" t="s">
        <v>209</v>
      </c>
      <c r="C19" s="24">
        <v>0</v>
      </c>
      <c r="D19" s="24">
        <v>0</v>
      </c>
      <c r="E19" s="34">
        <v>1</v>
      </c>
      <c r="F19" s="24">
        <v>0</v>
      </c>
      <c r="G19" s="24">
        <v>0</v>
      </c>
      <c r="H19" s="24">
        <v>0</v>
      </c>
      <c r="I19" s="19">
        <v>1</v>
      </c>
      <c r="J19" s="18">
        <v>1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</row>
    <row r="20" spans="1:24" x14ac:dyDescent="0.25">
      <c r="A20" s="28">
        <v>4</v>
      </c>
      <c r="B20" s="28" t="s">
        <v>210</v>
      </c>
      <c r="C20" s="24">
        <v>0</v>
      </c>
      <c r="D20" s="24">
        <v>0</v>
      </c>
      <c r="E20" s="24">
        <v>0</v>
      </c>
      <c r="F20" s="24">
        <v>0</v>
      </c>
      <c r="G20" s="34">
        <v>1</v>
      </c>
      <c r="H20" s="34">
        <v>1</v>
      </c>
      <c r="I20" s="19">
        <v>1</v>
      </c>
      <c r="J20" s="18">
        <v>1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</row>
    <row r="21" spans="1:24" x14ac:dyDescent="0.25">
      <c r="A21" s="28">
        <v>7</v>
      </c>
      <c r="B21" s="28" t="s">
        <v>211</v>
      </c>
      <c r="C21" s="24">
        <v>0</v>
      </c>
      <c r="D21" s="34">
        <v>1</v>
      </c>
      <c r="E21" s="34">
        <v>1</v>
      </c>
      <c r="F21" s="95">
        <v>1</v>
      </c>
      <c r="G21" s="34">
        <v>1</v>
      </c>
      <c r="H21" s="34">
        <v>1</v>
      </c>
      <c r="I21" s="18">
        <v>1</v>
      </c>
      <c r="J21" s="18">
        <v>1</v>
      </c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</row>
    <row r="22" spans="1:24" x14ac:dyDescent="0.25">
      <c r="A22" s="28">
        <v>0</v>
      </c>
      <c r="B22" s="28" t="s">
        <v>212</v>
      </c>
      <c r="C22" s="24">
        <v>0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32">
        <v>0</v>
      </c>
      <c r="J22" s="32">
        <v>0</v>
      </c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</row>
    <row r="23" spans="1:24" x14ac:dyDescent="0.25">
      <c r="A23" s="28">
        <v>5</v>
      </c>
      <c r="B23" s="28" t="s">
        <v>213</v>
      </c>
      <c r="C23" s="24">
        <v>0</v>
      </c>
      <c r="D23" s="35">
        <v>1</v>
      </c>
      <c r="E23" s="34">
        <v>1</v>
      </c>
      <c r="F23" s="34">
        <v>1</v>
      </c>
      <c r="G23" s="34">
        <v>1</v>
      </c>
      <c r="H23" s="34">
        <v>1</v>
      </c>
      <c r="I23" s="32">
        <v>0</v>
      </c>
      <c r="J23" s="32">
        <v>0</v>
      </c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</row>
    <row r="24" spans="1:24" x14ac:dyDescent="0.25">
      <c r="A24" s="28">
        <v>5</v>
      </c>
      <c r="B24" s="28" t="s">
        <v>214</v>
      </c>
      <c r="C24" s="35">
        <v>1</v>
      </c>
      <c r="D24" s="24">
        <v>0</v>
      </c>
      <c r="E24" s="34">
        <v>1</v>
      </c>
      <c r="F24" s="34">
        <v>1</v>
      </c>
      <c r="G24" s="24">
        <v>0</v>
      </c>
      <c r="H24" s="34">
        <v>1</v>
      </c>
      <c r="I24" s="32">
        <v>0</v>
      </c>
      <c r="J24" s="18">
        <v>1</v>
      </c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</row>
    <row r="25" spans="1:24" x14ac:dyDescent="0.25">
      <c r="A25" s="28">
        <v>1</v>
      </c>
      <c r="B25" s="28" t="s">
        <v>215</v>
      </c>
      <c r="C25" s="24">
        <v>0</v>
      </c>
      <c r="D25" s="24">
        <v>0</v>
      </c>
      <c r="E25" s="35">
        <v>1</v>
      </c>
      <c r="F25" s="24">
        <v>0</v>
      </c>
      <c r="G25" s="24">
        <v>0</v>
      </c>
      <c r="H25" s="24">
        <v>0</v>
      </c>
      <c r="I25" s="32">
        <v>0</v>
      </c>
      <c r="J25" s="32">
        <v>0</v>
      </c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</row>
    <row r="26" spans="1:24" x14ac:dyDescent="0.25">
      <c r="A26" s="28">
        <v>3</v>
      </c>
      <c r="B26" s="28" t="s">
        <v>216</v>
      </c>
      <c r="C26" s="18">
        <v>1</v>
      </c>
      <c r="D26" s="32">
        <v>0</v>
      </c>
      <c r="E26" s="32">
        <v>0</v>
      </c>
      <c r="F26" s="19">
        <v>1</v>
      </c>
      <c r="G26" s="32">
        <v>0</v>
      </c>
      <c r="H26" s="32">
        <v>0</v>
      </c>
      <c r="I26" s="32">
        <v>0</v>
      </c>
      <c r="J26" s="18">
        <v>1</v>
      </c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</row>
    <row r="27" spans="1:24" x14ac:dyDescent="0.25">
      <c r="A27" s="28">
        <v>3</v>
      </c>
      <c r="B27" s="28" t="s">
        <v>217</v>
      </c>
      <c r="C27" s="32">
        <v>0</v>
      </c>
      <c r="D27" s="18">
        <v>1</v>
      </c>
      <c r="E27" s="32">
        <v>0</v>
      </c>
      <c r="F27" s="32">
        <v>0</v>
      </c>
      <c r="G27" s="32">
        <v>0</v>
      </c>
      <c r="H27" s="18">
        <v>1</v>
      </c>
      <c r="I27" s="19">
        <v>1</v>
      </c>
      <c r="J27" s="32">
        <v>0</v>
      </c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</row>
    <row r="28" spans="1:24" x14ac:dyDescent="0.25">
      <c r="A28" s="28">
        <v>4</v>
      </c>
      <c r="B28" s="28" t="s">
        <v>218</v>
      </c>
      <c r="C28" s="18">
        <v>1</v>
      </c>
      <c r="D28" s="32">
        <v>0</v>
      </c>
      <c r="E28" s="19">
        <v>1</v>
      </c>
      <c r="F28" s="18">
        <v>1</v>
      </c>
      <c r="G28" s="32">
        <v>0</v>
      </c>
      <c r="H28" s="32">
        <v>0</v>
      </c>
      <c r="I28" s="32">
        <v>0</v>
      </c>
      <c r="J28" s="18">
        <v>1</v>
      </c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</row>
    <row r="29" spans="1:24" x14ac:dyDescent="0.25">
      <c r="A29" s="28">
        <v>5</v>
      </c>
      <c r="B29" s="28" t="s">
        <v>219</v>
      </c>
      <c r="C29" s="32">
        <v>0</v>
      </c>
      <c r="D29" s="32">
        <v>0</v>
      </c>
      <c r="E29" s="18">
        <v>1</v>
      </c>
      <c r="F29" s="18">
        <v>1</v>
      </c>
      <c r="G29" s="19">
        <v>1</v>
      </c>
      <c r="H29" s="18">
        <v>1</v>
      </c>
      <c r="I29" s="32">
        <v>0</v>
      </c>
      <c r="J29" s="18">
        <v>1</v>
      </c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</row>
    <row r="30" spans="1:24" x14ac:dyDescent="0.25">
      <c r="A30" s="28">
        <v>4</v>
      </c>
      <c r="B30" s="28" t="s">
        <v>220</v>
      </c>
      <c r="C30" s="32">
        <v>0</v>
      </c>
      <c r="D30" s="32">
        <v>0</v>
      </c>
      <c r="E30" s="18">
        <v>1</v>
      </c>
      <c r="F30" s="32">
        <v>0</v>
      </c>
      <c r="G30" s="19">
        <v>1</v>
      </c>
      <c r="H30" s="18">
        <v>1</v>
      </c>
      <c r="I30" s="32">
        <v>0</v>
      </c>
      <c r="J30" s="18">
        <v>1</v>
      </c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</row>
    <row r="31" spans="1:24" x14ac:dyDescent="0.25">
      <c r="A31" s="28">
        <v>3</v>
      </c>
      <c r="B31" s="28" t="s">
        <v>221</v>
      </c>
      <c r="C31" s="32">
        <v>0</v>
      </c>
      <c r="D31" s="18">
        <v>1</v>
      </c>
      <c r="E31" s="32">
        <v>0</v>
      </c>
      <c r="F31" s="32">
        <v>0</v>
      </c>
      <c r="G31" s="32">
        <v>0</v>
      </c>
      <c r="H31" s="32">
        <v>0</v>
      </c>
      <c r="I31" s="18">
        <v>1</v>
      </c>
      <c r="J31" s="19">
        <v>1</v>
      </c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</row>
    <row r="32" spans="1:24" x14ac:dyDescent="0.25">
      <c r="A32" s="28">
        <v>6</v>
      </c>
      <c r="B32" s="28" t="s">
        <v>222</v>
      </c>
      <c r="C32" s="18">
        <v>1</v>
      </c>
      <c r="D32" s="32">
        <v>0</v>
      </c>
      <c r="E32" s="18">
        <v>1</v>
      </c>
      <c r="F32" s="18">
        <v>1</v>
      </c>
      <c r="G32" s="32">
        <v>0</v>
      </c>
      <c r="H32" s="19">
        <v>1</v>
      </c>
      <c r="I32" s="18">
        <v>1</v>
      </c>
      <c r="J32" s="18">
        <v>1</v>
      </c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</row>
    <row r="33" spans="1:24" x14ac:dyDescent="0.25">
      <c r="A33" s="28">
        <v>5</v>
      </c>
      <c r="B33" s="28" t="s">
        <v>223</v>
      </c>
      <c r="C33" s="18">
        <v>1</v>
      </c>
      <c r="D33" s="18">
        <v>1</v>
      </c>
      <c r="E33" s="32">
        <v>0</v>
      </c>
      <c r="F33" s="32">
        <v>0</v>
      </c>
      <c r="G33" s="18">
        <v>1</v>
      </c>
      <c r="H33" s="32">
        <v>0</v>
      </c>
      <c r="I33" s="18">
        <v>1</v>
      </c>
      <c r="J33" s="19">
        <v>1</v>
      </c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</row>
    <row r="34" spans="1:24" x14ac:dyDescent="0.25">
      <c r="A34" s="28">
        <v>4</v>
      </c>
      <c r="B34" s="28" t="s">
        <v>224</v>
      </c>
      <c r="C34" s="32">
        <v>0</v>
      </c>
      <c r="D34" s="18">
        <v>1</v>
      </c>
      <c r="E34" s="32">
        <v>0</v>
      </c>
      <c r="F34" s="32">
        <v>0</v>
      </c>
      <c r="G34" s="18">
        <v>1</v>
      </c>
      <c r="H34" s="19">
        <v>1</v>
      </c>
      <c r="I34" s="32">
        <v>0</v>
      </c>
      <c r="J34" s="18">
        <v>1</v>
      </c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</row>
    <row r="35" spans="1:24" x14ac:dyDescent="0.25">
      <c r="A35" s="28">
        <v>6</v>
      </c>
      <c r="B35" s="28" t="s">
        <v>225</v>
      </c>
      <c r="C35" s="18">
        <v>1</v>
      </c>
      <c r="D35" s="18">
        <v>1</v>
      </c>
      <c r="E35" s="18">
        <v>1</v>
      </c>
      <c r="F35" s="32">
        <v>0</v>
      </c>
      <c r="G35" s="19">
        <v>1</v>
      </c>
      <c r="H35" s="18">
        <v>1</v>
      </c>
      <c r="I35" s="32">
        <v>0</v>
      </c>
      <c r="J35" s="18">
        <v>1</v>
      </c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</row>
    <row r="36" spans="1:24" x14ac:dyDescent="0.25">
      <c r="A36" s="28">
        <v>6</v>
      </c>
      <c r="B36" s="28" t="s">
        <v>226</v>
      </c>
      <c r="C36" s="18">
        <v>1</v>
      </c>
      <c r="D36" s="32">
        <v>0</v>
      </c>
      <c r="E36" s="18">
        <v>1</v>
      </c>
      <c r="F36" s="32">
        <v>0</v>
      </c>
      <c r="G36" s="18">
        <v>1</v>
      </c>
      <c r="H36" s="18">
        <v>1</v>
      </c>
      <c r="I36" s="18">
        <v>1</v>
      </c>
      <c r="J36" s="19">
        <v>1</v>
      </c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</row>
    <row r="37" spans="1:24" x14ac:dyDescent="0.25">
      <c r="A37" s="28">
        <v>1</v>
      </c>
      <c r="B37" s="28" t="s">
        <v>227</v>
      </c>
      <c r="C37" s="32">
        <v>0</v>
      </c>
      <c r="D37" s="19">
        <v>1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32">
        <v>0</v>
      </c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</row>
    <row r="38" spans="1:24" x14ac:dyDescent="0.25">
      <c r="A38" s="28">
        <v>4</v>
      </c>
      <c r="B38" s="28" t="s">
        <v>228</v>
      </c>
      <c r="C38" s="32">
        <v>0</v>
      </c>
      <c r="D38" s="18">
        <v>1</v>
      </c>
      <c r="E38" s="18">
        <v>1</v>
      </c>
      <c r="F38" s="32">
        <v>0</v>
      </c>
      <c r="G38" s="32">
        <v>0</v>
      </c>
      <c r="H38" s="18">
        <v>1</v>
      </c>
      <c r="I38" s="32">
        <v>0</v>
      </c>
      <c r="J38" s="19">
        <v>1</v>
      </c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</row>
    <row r="39" spans="1:24" x14ac:dyDescent="0.25">
      <c r="A39" s="28">
        <v>5</v>
      </c>
      <c r="B39" s="28" t="s">
        <v>229</v>
      </c>
      <c r="C39" s="18">
        <v>1</v>
      </c>
      <c r="D39" s="18">
        <v>1</v>
      </c>
      <c r="E39" s="18">
        <v>1</v>
      </c>
      <c r="F39" s="32">
        <v>0</v>
      </c>
      <c r="G39" s="18">
        <v>1</v>
      </c>
      <c r="H39" s="19">
        <v>1</v>
      </c>
      <c r="I39" s="32">
        <v>0</v>
      </c>
      <c r="J39" s="32">
        <v>0</v>
      </c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</row>
    <row r="40" spans="1:24" x14ac:dyDescent="0.25">
      <c r="A40" s="28">
        <v>5</v>
      </c>
      <c r="B40" s="28" t="s">
        <v>230</v>
      </c>
      <c r="C40" s="32">
        <v>0</v>
      </c>
      <c r="D40" s="18">
        <v>1</v>
      </c>
      <c r="E40" s="32">
        <v>0</v>
      </c>
      <c r="F40" s="19">
        <v>1</v>
      </c>
      <c r="G40" s="18">
        <v>1</v>
      </c>
      <c r="H40" s="32">
        <v>0</v>
      </c>
      <c r="I40" s="18">
        <v>1</v>
      </c>
      <c r="J40" s="18">
        <v>1</v>
      </c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</row>
    <row r="41" spans="1:24" x14ac:dyDescent="0.25">
      <c r="A41" s="28">
        <v>7</v>
      </c>
      <c r="B41" s="28" t="s">
        <v>231</v>
      </c>
      <c r="C41" s="18">
        <v>1</v>
      </c>
      <c r="D41" s="18">
        <v>1</v>
      </c>
      <c r="E41" s="18">
        <v>1</v>
      </c>
      <c r="F41" s="96">
        <v>1</v>
      </c>
      <c r="G41" s="18">
        <v>1</v>
      </c>
      <c r="H41" s="32">
        <v>0</v>
      </c>
      <c r="I41" s="18">
        <v>1</v>
      </c>
      <c r="J41" s="18">
        <v>1</v>
      </c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</row>
    <row r="42" spans="1:24" x14ac:dyDescent="0.25">
      <c r="A42" s="28">
        <v>4</v>
      </c>
      <c r="B42" s="28" t="s">
        <v>232</v>
      </c>
      <c r="C42" s="18">
        <v>1</v>
      </c>
      <c r="D42" s="32">
        <v>0</v>
      </c>
      <c r="E42" s="18">
        <v>1</v>
      </c>
      <c r="F42" s="19">
        <v>1</v>
      </c>
      <c r="G42" s="18">
        <v>1</v>
      </c>
      <c r="H42" s="32">
        <v>0</v>
      </c>
      <c r="I42" s="32">
        <v>0</v>
      </c>
      <c r="J42" s="32">
        <v>0</v>
      </c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</row>
    <row r="43" spans="1:24" x14ac:dyDescent="0.25">
      <c r="A43" s="28">
        <v>4</v>
      </c>
      <c r="B43" s="28" t="s">
        <v>233</v>
      </c>
      <c r="C43" s="32">
        <v>0</v>
      </c>
      <c r="D43" s="32">
        <v>0</v>
      </c>
      <c r="E43" s="19">
        <v>1</v>
      </c>
      <c r="F43" s="18">
        <v>1</v>
      </c>
      <c r="G43" s="18">
        <v>1</v>
      </c>
      <c r="H43" s="32">
        <v>0</v>
      </c>
      <c r="I43" s="32">
        <v>0</v>
      </c>
      <c r="J43" s="18">
        <v>1</v>
      </c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</row>
    <row r="44" spans="1:24" x14ac:dyDescent="0.25">
      <c r="A44" s="28">
        <v>5</v>
      </c>
      <c r="B44" s="28" t="s">
        <v>234</v>
      </c>
      <c r="C44" s="18">
        <v>1</v>
      </c>
      <c r="D44" s="32">
        <v>0</v>
      </c>
      <c r="E44" s="19">
        <v>1</v>
      </c>
      <c r="F44" s="18">
        <v>1</v>
      </c>
      <c r="G44" s="32">
        <v>0</v>
      </c>
      <c r="H44" s="18">
        <v>1</v>
      </c>
      <c r="I44" s="18">
        <v>1</v>
      </c>
      <c r="J44" s="32">
        <v>0</v>
      </c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</row>
    <row r="45" spans="1:24" x14ac:dyDescent="0.25">
      <c r="A45" s="28">
        <v>4</v>
      </c>
      <c r="B45" s="28" t="s">
        <v>235</v>
      </c>
      <c r="C45" s="19">
        <v>1</v>
      </c>
      <c r="D45" s="32">
        <v>0</v>
      </c>
      <c r="E45" s="18">
        <v>1</v>
      </c>
      <c r="F45" s="32">
        <v>0</v>
      </c>
      <c r="G45" s="18">
        <v>1</v>
      </c>
      <c r="H45" s="32">
        <v>0</v>
      </c>
      <c r="I45" s="32">
        <v>0</v>
      </c>
      <c r="J45" s="18">
        <v>1</v>
      </c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</row>
    <row r="46" spans="1:24" x14ac:dyDescent="0.25">
      <c r="A46" s="28">
        <v>4</v>
      </c>
      <c r="B46" s="28" t="s">
        <v>236</v>
      </c>
      <c r="C46" s="32">
        <v>0</v>
      </c>
      <c r="D46" s="18">
        <v>1</v>
      </c>
      <c r="E46" s="32">
        <v>0</v>
      </c>
      <c r="F46" s="19">
        <v>1</v>
      </c>
      <c r="G46" s="18">
        <v>1</v>
      </c>
      <c r="H46" s="18">
        <v>1</v>
      </c>
      <c r="I46" s="32">
        <v>0</v>
      </c>
      <c r="J46" s="32">
        <v>0</v>
      </c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</row>
    <row r="47" spans="1:24" x14ac:dyDescent="0.25">
      <c r="A47" s="28">
        <v>3</v>
      </c>
      <c r="B47" s="28" t="s">
        <v>237</v>
      </c>
      <c r="C47" s="32">
        <v>0</v>
      </c>
      <c r="D47" s="18">
        <v>1</v>
      </c>
      <c r="E47" s="18">
        <v>1</v>
      </c>
      <c r="F47" s="32">
        <v>0</v>
      </c>
      <c r="G47" s="32">
        <v>0</v>
      </c>
      <c r="H47" s="19">
        <v>1</v>
      </c>
      <c r="I47" s="32">
        <v>0</v>
      </c>
      <c r="J47" s="32">
        <v>0</v>
      </c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</row>
    <row r="48" spans="1:24" x14ac:dyDescent="0.25">
      <c r="A48" s="28">
        <v>4</v>
      </c>
      <c r="B48" s="28" t="s">
        <v>238</v>
      </c>
      <c r="C48" s="18">
        <v>1</v>
      </c>
      <c r="D48" s="32">
        <v>0</v>
      </c>
      <c r="E48" s="18">
        <v>1</v>
      </c>
      <c r="F48" s="32">
        <v>0</v>
      </c>
      <c r="G48" s="18">
        <v>1</v>
      </c>
      <c r="H48" s="32">
        <v>0</v>
      </c>
      <c r="I48" s="19">
        <v>1</v>
      </c>
      <c r="J48" s="32">
        <v>0</v>
      </c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</row>
    <row r="49" spans="1:24" x14ac:dyDescent="0.25">
      <c r="A49" s="28">
        <v>4</v>
      </c>
      <c r="B49" s="28" t="s">
        <v>239</v>
      </c>
      <c r="C49" s="32">
        <v>0</v>
      </c>
      <c r="D49" s="19">
        <v>1</v>
      </c>
      <c r="E49" s="18">
        <v>1</v>
      </c>
      <c r="F49" s="18">
        <v>1</v>
      </c>
      <c r="G49" s="32">
        <v>0</v>
      </c>
      <c r="H49" s="32">
        <v>0</v>
      </c>
      <c r="I49" s="32">
        <v>0</v>
      </c>
      <c r="J49" s="18">
        <v>1</v>
      </c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</row>
    <row r="50" spans="1:24" x14ac:dyDescent="0.25">
      <c r="A50" s="28">
        <v>1</v>
      </c>
      <c r="B50" s="28" t="s">
        <v>240</v>
      </c>
      <c r="C50" s="32">
        <v>0</v>
      </c>
      <c r="D50" s="32">
        <v>0</v>
      </c>
      <c r="E50" s="32">
        <v>0</v>
      </c>
      <c r="F50" s="32">
        <v>0</v>
      </c>
      <c r="G50" s="32">
        <v>0</v>
      </c>
      <c r="H50" s="19">
        <v>1</v>
      </c>
      <c r="I50" s="32">
        <v>0</v>
      </c>
      <c r="J50" s="32">
        <v>0</v>
      </c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x14ac:dyDescent="0.25">
      <c r="A51" s="28">
        <v>5</v>
      </c>
      <c r="B51" s="28" t="s">
        <v>241</v>
      </c>
      <c r="C51" s="18">
        <v>1</v>
      </c>
      <c r="D51" s="18">
        <v>1</v>
      </c>
      <c r="E51" s="32">
        <v>0</v>
      </c>
      <c r="F51" s="18">
        <v>1</v>
      </c>
      <c r="G51" s="32">
        <v>0</v>
      </c>
      <c r="H51" s="18">
        <v>1</v>
      </c>
      <c r="I51" s="19">
        <v>1</v>
      </c>
      <c r="J51" s="32">
        <v>0</v>
      </c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x14ac:dyDescent="0.25">
      <c r="A52" s="28">
        <v>5</v>
      </c>
      <c r="B52" s="28" t="s">
        <v>242</v>
      </c>
      <c r="C52" s="19">
        <v>1</v>
      </c>
      <c r="D52" s="18">
        <v>1</v>
      </c>
      <c r="E52" s="18">
        <v>1</v>
      </c>
      <c r="F52" s="32">
        <v>0</v>
      </c>
      <c r="G52" s="18">
        <v>1</v>
      </c>
      <c r="H52" s="32">
        <v>0</v>
      </c>
      <c r="I52" s="18">
        <v>1</v>
      </c>
      <c r="J52" s="32">
        <v>0</v>
      </c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</row>
    <row r="53" spans="1:24" x14ac:dyDescent="0.25">
      <c r="A53" s="28">
        <v>7</v>
      </c>
      <c r="B53" s="28" t="s">
        <v>243</v>
      </c>
      <c r="C53" s="18">
        <v>1</v>
      </c>
      <c r="D53" s="18">
        <v>1</v>
      </c>
      <c r="E53" s="18">
        <v>1</v>
      </c>
      <c r="F53" s="96">
        <v>1</v>
      </c>
      <c r="G53" s="18">
        <v>1</v>
      </c>
      <c r="H53" s="18">
        <v>1</v>
      </c>
      <c r="I53" s="18">
        <v>1</v>
      </c>
      <c r="J53" s="32">
        <v>0</v>
      </c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</row>
    <row r="54" spans="1:24" x14ac:dyDescent="0.25"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</row>
    <row r="55" spans="1:24" x14ac:dyDescent="0.25"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</row>
    <row r="56" spans="1:24" x14ac:dyDescent="0.25"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</row>
    <row r="57" spans="1:24" x14ac:dyDescent="0.25"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</row>
    <row r="58" spans="1:24" x14ac:dyDescent="0.25"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</row>
    <row r="59" spans="1:24" x14ac:dyDescent="0.25"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</row>
    <row r="60" spans="1:24" x14ac:dyDescent="0.25"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</row>
    <row r="61" spans="1:24" x14ac:dyDescent="0.25"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</row>
    <row r="62" spans="1:24" x14ac:dyDescent="0.25"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</row>
    <row r="63" spans="1:24" x14ac:dyDescent="0.25"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</row>
    <row r="64" spans="1:24" x14ac:dyDescent="0.25"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</row>
    <row r="65" spans="3:24" x14ac:dyDescent="0.25"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</row>
    <row r="66" spans="3:24" x14ac:dyDescent="0.25"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</row>
    <row r="67" spans="3:24" x14ac:dyDescent="0.25"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</row>
    <row r="68" spans="3:24" x14ac:dyDescent="0.25"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</row>
    <row r="69" spans="3:24" x14ac:dyDescent="0.25"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</row>
    <row r="70" spans="3:24" x14ac:dyDescent="0.25"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</row>
    <row r="71" spans="3:24" x14ac:dyDescent="0.25"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</row>
    <row r="72" spans="3:24" x14ac:dyDescent="0.25"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</row>
    <row r="73" spans="3:24" x14ac:dyDescent="0.25"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</row>
    <row r="74" spans="3:24" x14ac:dyDescent="0.25"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</row>
    <row r="75" spans="3:24" x14ac:dyDescent="0.25"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</row>
    <row r="76" spans="3:24" x14ac:dyDescent="0.25"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</row>
    <row r="77" spans="3:24" x14ac:dyDescent="0.25"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</row>
    <row r="78" spans="3:24" x14ac:dyDescent="0.25"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</row>
    <row r="79" spans="3:24" x14ac:dyDescent="0.25"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</row>
    <row r="80" spans="3:24" x14ac:dyDescent="0.25"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</row>
    <row r="81" spans="3:24" x14ac:dyDescent="0.25"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</row>
    <row r="82" spans="3:24" x14ac:dyDescent="0.25"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</row>
    <row r="83" spans="3:24" x14ac:dyDescent="0.25"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</row>
    <row r="84" spans="3:24" x14ac:dyDescent="0.25"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</row>
    <row r="85" spans="3:24" x14ac:dyDescent="0.25"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</row>
    <row r="86" spans="3:24" x14ac:dyDescent="0.25"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</row>
    <row r="87" spans="3:24" x14ac:dyDescent="0.25"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</row>
    <row r="88" spans="3:24" x14ac:dyDescent="0.25"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</row>
    <row r="89" spans="3:24" x14ac:dyDescent="0.25"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</row>
    <row r="90" spans="3:24" x14ac:dyDescent="0.25"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</row>
    <row r="91" spans="3:24" x14ac:dyDescent="0.25"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</row>
    <row r="92" spans="3:24" x14ac:dyDescent="0.25"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</row>
    <row r="93" spans="3:24" x14ac:dyDescent="0.25"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</row>
    <row r="94" spans="3:24" x14ac:dyDescent="0.25"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</row>
    <row r="95" spans="3:24" x14ac:dyDescent="0.25"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</row>
    <row r="96" spans="3:24" x14ac:dyDescent="0.25"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</row>
    <row r="97" spans="3:24" x14ac:dyDescent="0.25"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</row>
    <row r="98" spans="3:24" x14ac:dyDescent="0.25"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</row>
    <row r="99" spans="3:24" x14ac:dyDescent="0.25"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</row>
    <row r="100" spans="3:24" x14ac:dyDescent="0.25"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</row>
    <row r="101" spans="3:24" x14ac:dyDescent="0.25">
      <c r="C101" s="1"/>
      <c r="D101" s="1"/>
      <c r="E10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0"/>
  <dimension ref="A1:Z100"/>
  <sheetViews>
    <sheetView workbookViewId="0">
      <selection activeCell="A2" sqref="A2:A100"/>
    </sheetView>
  </sheetViews>
  <sheetFormatPr defaultRowHeight="15" x14ac:dyDescent="0.25"/>
  <cols>
    <col min="1" max="1" width="13" style="57" customWidth="1"/>
    <col min="2" max="5" width="9.140625" style="47"/>
    <col min="6" max="6" width="9.140625" style="59"/>
    <col min="7" max="7" width="9.7109375" style="59" customWidth="1"/>
    <col min="8" max="8" width="10.28515625" style="59" bestFit="1" customWidth="1"/>
    <col min="9" max="16384" width="9.140625" style="47"/>
  </cols>
  <sheetData>
    <row r="1" spans="1:26" s="52" customFormat="1" x14ac:dyDescent="0.25">
      <c r="A1" s="60">
        <v>1000</v>
      </c>
      <c r="B1" s="52" t="s">
        <v>294</v>
      </c>
      <c r="C1" s="52" t="s">
        <v>289</v>
      </c>
      <c r="D1" s="52" t="s">
        <v>141</v>
      </c>
      <c r="E1" s="52" t="s">
        <v>290</v>
      </c>
      <c r="F1" s="58" t="s">
        <v>291</v>
      </c>
      <c r="G1" s="58" t="s">
        <v>292</v>
      </c>
      <c r="H1" s="58" t="s">
        <v>293</v>
      </c>
    </row>
    <row r="2" spans="1:26" x14ac:dyDescent="0.25">
      <c r="A2" s="52" t="s">
        <v>194</v>
      </c>
      <c r="B2" s="60">
        <v>2.8702640642939148E-2</v>
      </c>
      <c r="C2" s="60">
        <v>0.19379844961240308</v>
      </c>
      <c r="D2" s="60">
        <v>34.840000000000003</v>
      </c>
      <c r="E2" s="60">
        <v>5.16</v>
      </c>
      <c r="F2" s="61">
        <v>129</v>
      </c>
      <c r="G2" s="61">
        <v>871</v>
      </c>
      <c r="H2" s="61">
        <v>25</v>
      </c>
      <c r="I2" s="60"/>
      <c r="J2" s="60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 t="s">
        <v>192</v>
      </c>
      <c r="Z2" s="52" t="s">
        <v>193</v>
      </c>
    </row>
    <row r="3" spans="1:26" x14ac:dyDescent="0.25">
      <c r="A3" s="52" t="s">
        <v>195</v>
      </c>
      <c r="B3" s="60">
        <v>4.5731707317073177E-3</v>
      </c>
      <c r="C3" s="60">
        <v>8.7209302325581394E-3</v>
      </c>
      <c r="D3" s="60">
        <v>218.66666666666666</v>
      </c>
      <c r="E3" s="60">
        <v>114.66666666666667</v>
      </c>
      <c r="F3" s="61">
        <v>344</v>
      </c>
      <c r="G3" s="61">
        <v>656</v>
      </c>
      <c r="H3" s="61">
        <v>3</v>
      </c>
      <c r="I3" s="60"/>
      <c r="J3" s="60"/>
      <c r="K3" s="60"/>
    </row>
    <row r="4" spans="1:26" x14ac:dyDescent="0.25">
      <c r="A4" s="52" t="s">
        <v>196</v>
      </c>
      <c r="B4" s="60">
        <v>8.4656084656084662E-3</v>
      </c>
      <c r="C4" s="60">
        <v>0.14545454545454545</v>
      </c>
      <c r="D4" s="60">
        <v>118.125</v>
      </c>
      <c r="E4" s="60">
        <v>6.875</v>
      </c>
      <c r="F4" s="61">
        <v>55</v>
      </c>
      <c r="G4" s="61">
        <v>945</v>
      </c>
      <c r="H4" s="61">
        <v>8</v>
      </c>
      <c r="I4" s="60"/>
      <c r="J4" s="60"/>
    </row>
    <row r="5" spans="1:26" x14ac:dyDescent="0.25">
      <c r="A5" s="52" t="s">
        <v>197</v>
      </c>
      <c r="B5" s="60">
        <v>0.30769230769230771</v>
      </c>
      <c r="C5" s="60">
        <v>2.1390374331550801E-2</v>
      </c>
      <c r="D5" s="60">
        <v>3.25</v>
      </c>
      <c r="E5" s="60">
        <v>46.75</v>
      </c>
      <c r="F5" s="61">
        <v>935</v>
      </c>
      <c r="G5" s="61">
        <v>65</v>
      </c>
      <c r="H5" s="61">
        <v>20</v>
      </c>
      <c r="I5" s="60"/>
      <c r="J5" s="60"/>
    </row>
    <row r="6" spans="1:26" x14ac:dyDescent="0.25">
      <c r="A6" s="52" t="s">
        <v>198</v>
      </c>
      <c r="B6" s="60">
        <v>9.5846645367412137E-2</v>
      </c>
      <c r="C6" s="60">
        <v>4.3668122270742363E-2</v>
      </c>
      <c r="D6" s="60">
        <v>10.433333333333334</v>
      </c>
      <c r="E6" s="60">
        <v>22.9</v>
      </c>
      <c r="F6" s="61">
        <v>687</v>
      </c>
      <c r="G6" s="61">
        <v>313</v>
      </c>
      <c r="H6" s="61">
        <v>30</v>
      </c>
      <c r="I6" s="60"/>
      <c r="J6" s="60"/>
    </row>
    <row r="7" spans="1:26" x14ac:dyDescent="0.25">
      <c r="A7" s="52" t="s">
        <v>199</v>
      </c>
      <c r="B7" s="60">
        <v>3.4369885433715219E-2</v>
      </c>
      <c r="C7" s="60">
        <v>5.3984575835475571E-2</v>
      </c>
      <c r="D7" s="60">
        <v>29.095238095238095</v>
      </c>
      <c r="E7" s="60">
        <v>18.523809523809526</v>
      </c>
      <c r="F7" s="61">
        <v>389</v>
      </c>
      <c r="G7" s="61">
        <v>611</v>
      </c>
      <c r="H7" s="61">
        <v>21</v>
      </c>
      <c r="I7" s="60"/>
      <c r="J7" s="60"/>
    </row>
    <row r="8" spans="1:26" x14ac:dyDescent="0.25">
      <c r="A8" s="52" t="s">
        <v>200</v>
      </c>
      <c r="B8" s="60">
        <v>3.151862464183381E-2</v>
      </c>
      <c r="C8" s="60">
        <v>1.6897081413210446E-2</v>
      </c>
      <c r="D8" s="60">
        <v>31.727272727272727</v>
      </c>
      <c r="E8" s="60">
        <v>59.18181818181818</v>
      </c>
      <c r="F8" s="61">
        <v>651</v>
      </c>
      <c r="G8" s="61">
        <v>349</v>
      </c>
      <c r="H8" s="61">
        <v>11</v>
      </c>
      <c r="I8" s="60"/>
      <c r="J8" s="60"/>
    </row>
    <row r="9" spans="1:26" x14ac:dyDescent="0.25">
      <c r="A9" s="52" t="s">
        <v>201</v>
      </c>
      <c r="B9" s="60">
        <v>0.83870967741935487</v>
      </c>
      <c r="C9" s="60">
        <v>2.6831785345717236E-2</v>
      </c>
      <c r="D9" s="60">
        <v>1.1923076923076923</v>
      </c>
      <c r="E9" s="60">
        <v>37.269230769230766</v>
      </c>
      <c r="F9" s="61">
        <v>969</v>
      </c>
      <c r="G9" s="61">
        <v>31</v>
      </c>
      <c r="H9" s="61">
        <v>26</v>
      </c>
      <c r="I9" s="60"/>
      <c r="J9" s="60"/>
    </row>
    <row r="10" spans="1:26" x14ac:dyDescent="0.25">
      <c r="A10" s="52" t="s">
        <v>202</v>
      </c>
      <c r="B10" s="60">
        <v>0.35849056603773588</v>
      </c>
      <c r="C10" s="60">
        <v>2.0063357972544878E-2</v>
      </c>
      <c r="D10" s="60">
        <v>2.7894736842105261</v>
      </c>
      <c r="E10" s="60">
        <v>49.842105263157897</v>
      </c>
      <c r="F10" s="61">
        <v>947</v>
      </c>
      <c r="G10" s="61">
        <v>53</v>
      </c>
      <c r="H10" s="61">
        <v>19</v>
      </c>
      <c r="I10" s="60"/>
      <c r="J10" s="60"/>
    </row>
    <row r="11" spans="1:26" x14ac:dyDescent="0.25">
      <c r="A11" s="52" t="s">
        <v>203</v>
      </c>
      <c r="B11" s="60">
        <v>3.0942334739803092E-2</v>
      </c>
      <c r="C11" s="60">
        <v>7.6124567474048443E-2</v>
      </c>
      <c r="D11" s="60">
        <v>32.31818181818182</v>
      </c>
      <c r="E11" s="60">
        <v>13.136363636363637</v>
      </c>
      <c r="F11" s="61">
        <v>289</v>
      </c>
      <c r="G11" s="61">
        <v>711</v>
      </c>
      <c r="H11" s="61">
        <v>22</v>
      </c>
      <c r="I11" s="60"/>
      <c r="J11" s="60"/>
    </row>
    <row r="12" spans="1:26" x14ac:dyDescent="0.25">
      <c r="A12" s="52" t="s">
        <v>204</v>
      </c>
      <c r="B12" s="60">
        <v>1.0380622837370243E-2</v>
      </c>
      <c r="C12" s="60">
        <v>4.2194092827004216E-3</v>
      </c>
      <c r="D12" s="60">
        <v>96.333333333333329</v>
      </c>
      <c r="E12" s="60">
        <v>237</v>
      </c>
      <c r="F12" s="61">
        <v>711</v>
      </c>
      <c r="G12" s="61">
        <v>289</v>
      </c>
      <c r="H12" s="61">
        <v>3</v>
      </c>
      <c r="I12" s="60"/>
      <c r="J12" s="60"/>
    </row>
    <row r="13" spans="1:26" x14ac:dyDescent="0.25">
      <c r="A13" s="52" t="s">
        <v>205</v>
      </c>
      <c r="B13" s="60">
        <v>1.7456359102244388E-2</v>
      </c>
      <c r="C13" s="60">
        <v>7.0707070707070704E-2</v>
      </c>
      <c r="D13" s="60">
        <v>57.285714285714285</v>
      </c>
      <c r="E13" s="60">
        <v>14.142857142857142</v>
      </c>
      <c r="F13" s="61">
        <v>198</v>
      </c>
      <c r="G13" s="61">
        <v>802</v>
      </c>
      <c r="H13" s="61">
        <v>14</v>
      </c>
      <c r="I13" s="60"/>
      <c r="J13" s="60"/>
    </row>
    <row r="14" spans="1:26" x14ac:dyDescent="0.25">
      <c r="A14" s="52" t="s">
        <v>206</v>
      </c>
      <c r="B14" s="60">
        <v>6.510416666666667E-3</v>
      </c>
      <c r="C14" s="60">
        <v>2.1551724137931036E-2</v>
      </c>
      <c r="D14" s="60">
        <v>153.6</v>
      </c>
      <c r="E14" s="60">
        <v>46.4</v>
      </c>
      <c r="F14" s="61">
        <v>232</v>
      </c>
      <c r="G14" s="61">
        <v>768</v>
      </c>
      <c r="H14" s="61">
        <v>5</v>
      </c>
      <c r="I14" s="60"/>
      <c r="J14" s="60"/>
    </row>
    <row r="15" spans="1:26" x14ac:dyDescent="0.25">
      <c r="A15" s="52" t="s">
        <v>207</v>
      </c>
      <c r="B15" s="60">
        <v>0.31944444444444442</v>
      </c>
      <c r="C15" s="60">
        <v>2.4784482758620687E-2</v>
      </c>
      <c r="D15" s="60">
        <v>3.1304347826086958</v>
      </c>
      <c r="E15" s="60">
        <v>40.347826086956523</v>
      </c>
      <c r="F15" s="61">
        <v>928</v>
      </c>
      <c r="G15" s="61">
        <v>72</v>
      </c>
      <c r="H15" s="61">
        <v>23</v>
      </c>
      <c r="I15" s="60"/>
      <c r="J15" s="60"/>
    </row>
    <row r="16" spans="1:26" x14ac:dyDescent="0.25">
      <c r="A16" s="52" t="s">
        <v>208</v>
      </c>
      <c r="B16" s="60">
        <v>1.1508951406649617E-2</v>
      </c>
      <c r="C16" s="60">
        <v>4.1284403669724773E-2</v>
      </c>
      <c r="D16" s="60">
        <v>86.888888888888886</v>
      </c>
      <c r="E16" s="60">
        <v>24.222222222222221</v>
      </c>
      <c r="F16" s="61">
        <v>218</v>
      </c>
      <c r="G16" s="61">
        <v>782</v>
      </c>
      <c r="H16" s="61">
        <v>9</v>
      </c>
      <c r="I16" s="60"/>
      <c r="J16" s="60"/>
    </row>
    <row r="17" spans="1:10" x14ac:dyDescent="0.25">
      <c r="A17" s="52" t="s">
        <v>209</v>
      </c>
      <c r="B17" s="60">
        <v>3.8684719535783366E-3</v>
      </c>
      <c r="C17" s="60">
        <v>4.140786749482402E-3</v>
      </c>
      <c r="D17" s="60">
        <v>258.5</v>
      </c>
      <c r="E17" s="60">
        <v>241.5</v>
      </c>
      <c r="F17" s="61">
        <v>483</v>
      </c>
      <c r="G17" s="61">
        <v>517</v>
      </c>
      <c r="H17" s="61">
        <v>2</v>
      </c>
      <c r="I17" s="60"/>
      <c r="J17" s="60"/>
    </row>
    <row r="18" spans="1:10" x14ac:dyDescent="0.25">
      <c r="A18" s="52" t="s">
        <v>210</v>
      </c>
      <c r="B18" s="60">
        <v>2.1834061135371181E-2</v>
      </c>
      <c r="C18" s="60">
        <v>4.7923322683706068E-2</v>
      </c>
      <c r="D18" s="60">
        <v>45.8</v>
      </c>
      <c r="E18" s="60">
        <v>20.866666666666667</v>
      </c>
      <c r="F18" s="61">
        <v>313</v>
      </c>
      <c r="G18" s="61">
        <v>687</v>
      </c>
      <c r="H18" s="61">
        <v>15</v>
      </c>
      <c r="I18" s="60"/>
      <c r="J18" s="60"/>
    </row>
    <row r="19" spans="1:10" x14ac:dyDescent="0.25">
      <c r="A19" s="52" t="s">
        <v>211</v>
      </c>
      <c r="B19" s="60">
        <v>1.3793103448275861E-3</v>
      </c>
      <c r="C19" s="60">
        <v>3.6363636363636364E-3</v>
      </c>
      <c r="D19" s="60">
        <v>725</v>
      </c>
      <c r="E19" s="60">
        <v>275</v>
      </c>
      <c r="F19" s="61">
        <v>275</v>
      </c>
      <c r="G19" s="61">
        <v>725</v>
      </c>
      <c r="H19" s="61">
        <v>1</v>
      </c>
      <c r="I19" s="60"/>
      <c r="J19" s="60"/>
    </row>
    <row r="20" spans="1:10" x14ac:dyDescent="0.25">
      <c r="A20" s="52" t="s">
        <v>212</v>
      </c>
      <c r="B20" s="60">
        <v>0.12142857142857144</v>
      </c>
      <c r="C20" s="60">
        <v>1.9767441860465116E-2</v>
      </c>
      <c r="D20" s="60">
        <v>8.235294117647058</v>
      </c>
      <c r="E20" s="60">
        <v>50.588235294117645</v>
      </c>
      <c r="F20" s="61">
        <v>860</v>
      </c>
      <c r="G20" s="61">
        <v>140</v>
      </c>
      <c r="H20" s="61">
        <v>17</v>
      </c>
      <c r="I20" s="60"/>
      <c r="J20" s="60"/>
    </row>
    <row r="21" spans="1:10" x14ac:dyDescent="0.25">
      <c r="A21" s="52" t="s">
        <v>213</v>
      </c>
      <c r="B21" s="60">
        <v>3.0549898167006114E-3</v>
      </c>
      <c r="C21" s="60">
        <v>0.16666666666666666</v>
      </c>
      <c r="D21" s="60">
        <v>327.33333333333331</v>
      </c>
      <c r="E21" s="60">
        <v>6</v>
      </c>
      <c r="F21" s="61">
        <v>18</v>
      </c>
      <c r="G21" s="61">
        <v>982</v>
      </c>
      <c r="H21" s="61">
        <v>3</v>
      </c>
      <c r="I21" s="60"/>
      <c r="J21" s="60"/>
    </row>
    <row r="22" spans="1:10" x14ac:dyDescent="0.25">
      <c r="A22" s="52" t="s">
        <v>214</v>
      </c>
      <c r="B22" s="60">
        <v>0.18292682926829268</v>
      </c>
      <c r="C22" s="60">
        <v>1.6339869281045753E-2</v>
      </c>
      <c r="D22" s="60">
        <v>5.4666666666666668</v>
      </c>
      <c r="E22" s="60">
        <v>61.2</v>
      </c>
      <c r="F22" s="61">
        <v>918</v>
      </c>
      <c r="G22" s="61">
        <v>82</v>
      </c>
      <c r="H22" s="61">
        <v>15</v>
      </c>
      <c r="I22" s="60"/>
      <c r="J22" s="60"/>
    </row>
    <row r="23" spans="1:10" x14ac:dyDescent="0.25">
      <c r="A23" s="52" t="s">
        <v>215</v>
      </c>
      <c r="B23" s="60">
        <v>0.17692307692307691</v>
      </c>
      <c r="C23" s="60">
        <v>2.6436781609195402E-2</v>
      </c>
      <c r="D23" s="60">
        <v>5.6521739130434785</v>
      </c>
      <c r="E23" s="60">
        <v>37.826086956521742</v>
      </c>
      <c r="F23" s="61">
        <v>870</v>
      </c>
      <c r="G23" s="61">
        <v>130</v>
      </c>
      <c r="H23" s="61">
        <v>23</v>
      </c>
      <c r="I23" s="60"/>
      <c r="J23" s="60"/>
    </row>
    <row r="24" spans="1:10" x14ac:dyDescent="0.25">
      <c r="A24" s="52" t="s">
        <v>216</v>
      </c>
      <c r="B24" s="60">
        <v>5.3078556263269641E-2</v>
      </c>
      <c r="C24" s="60">
        <v>4.725897920604915E-2</v>
      </c>
      <c r="D24" s="60">
        <v>18.84</v>
      </c>
      <c r="E24" s="60">
        <v>21.16</v>
      </c>
      <c r="F24" s="61">
        <v>529</v>
      </c>
      <c r="G24" s="61">
        <v>471</v>
      </c>
      <c r="H24" s="61">
        <v>25</v>
      </c>
      <c r="I24" s="60"/>
      <c r="J24" s="60"/>
    </row>
    <row r="25" spans="1:10" x14ac:dyDescent="0.25">
      <c r="A25" s="52" t="s">
        <v>217</v>
      </c>
      <c r="B25" s="60">
        <v>6.7039106145251395E-2</v>
      </c>
      <c r="C25" s="60">
        <v>1.4616321559074299E-2</v>
      </c>
      <c r="D25" s="60">
        <v>14.916666666666666</v>
      </c>
      <c r="E25" s="60">
        <v>68.416666666666671</v>
      </c>
      <c r="F25" s="61">
        <v>821</v>
      </c>
      <c r="G25" s="61">
        <v>179</v>
      </c>
      <c r="H25" s="61">
        <v>12</v>
      </c>
      <c r="I25" s="60"/>
      <c r="J25" s="60"/>
    </row>
    <row r="26" spans="1:10" x14ac:dyDescent="0.25">
      <c r="A26" s="52" t="s">
        <v>218</v>
      </c>
      <c r="B26" s="60">
        <v>2.5940337224383919E-2</v>
      </c>
      <c r="C26" s="60">
        <v>8.7336244541484725E-2</v>
      </c>
      <c r="D26" s="60">
        <v>38.549999999999997</v>
      </c>
      <c r="E26" s="60">
        <v>11.45</v>
      </c>
      <c r="F26" s="61">
        <v>229</v>
      </c>
      <c r="G26" s="61">
        <v>771</v>
      </c>
      <c r="H26" s="61">
        <v>20</v>
      </c>
      <c r="I26" s="60"/>
      <c r="J26" s="60"/>
    </row>
    <row r="27" spans="1:10" x14ac:dyDescent="0.25">
      <c r="A27" s="52" t="s">
        <v>219</v>
      </c>
      <c r="B27" s="60">
        <v>4.3740573152337855E-2</v>
      </c>
      <c r="C27" s="60">
        <v>8.6053412462907999E-2</v>
      </c>
      <c r="D27" s="60">
        <v>22.862068965517242</v>
      </c>
      <c r="E27" s="60">
        <v>11.620689655172415</v>
      </c>
      <c r="F27" s="61">
        <v>337</v>
      </c>
      <c r="G27" s="61">
        <v>663</v>
      </c>
      <c r="H27" s="61">
        <v>29</v>
      </c>
      <c r="I27" s="60"/>
      <c r="J27" s="60"/>
    </row>
    <row r="28" spans="1:10" x14ac:dyDescent="0.25">
      <c r="A28" s="52" t="s">
        <v>220</v>
      </c>
      <c r="B28" s="60">
        <v>0.10989010989010989</v>
      </c>
      <c r="C28" s="60">
        <v>2.4449877750611249E-2</v>
      </c>
      <c r="D28" s="60">
        <v>9.1</v>
      </c>
      <c r="E28" s="60">
        <v>40.9</v>
      </c>
      <c r="F28" s="61">
        <v>818</v>
      </c>
      <c r="G28" s="61">
        <v>182</v>
      </c>
      <c r="H28" s="61">
        <v>20</v>
      </c>
      <c r="I28" s="60"/>
      <c r="J28" s="60"/>
    </row>
    <row r="29" spans="1:10" x14ac:dyDescent="0.25">
      <c r="A29" s="52" t="s">
        <v>221</v>
      </c>
      <c r="B29" s="60">
        <v>2.5099075297225892E-2</v>
      </c>
      <c r="C29" s="60">
        <v>7.8189300411522639E-2</v>
      </c>
      <c r="D29" s="60">
        <v>39.842105263157897</v>
      </c>
      <c r="E29" s="60">
        <v>12.789473684210526</v>
      </c>
      <c r="F29" s="61">
        <v>243</v>
      </c>
      <c r="G29" s="61">
        <v>757</v>
      </c>
      <c r="H29" s="61">
        <v>19</v>
      </c>
      <c r="I29" s="60"/>
      <c r="J29" s="60"/>
    </row>
    <row r="30" spans="1:10" x14ac:dyDescent="0.25">
      <c r="A30" s="52" t="s">
        <v>222</v>
      </c>
      <c r="B30" s="60">
        <v>2.0833333333333332E-2</v>
      </c>
      <c r="C30" s="60">
        <v>3.4574468085106384E-2</v>
      </c>
      <c r="D30" s="60">
        <v>48</v>
      </c>
      <c r="E30" s="60">
        <v>28.923076923076923</v>
      </c>
      <c r="F30" s="61">
        <v>376</v>
      </c>
      <c r="G30" s="61">
        <v>624</v>
      </c>
      <c r="H30" s="61">
        <v>13</v>
      </c>
      <c r="I30" s="60"/>
      <c r="J30" s="60"/>
    </row>
    <row r="31" spans="1:10" x14ac:dyDescent="0.25">
      <c r="A31" s="52" t="s">
        <v>223</v>
      </c>
      <c r="B31" s="60">
        <v>0.17322834645669291</v>
      </c>
      <c r="C31" s="60">
        <v>2.5200458190148912E-2</v>
      </c>
      <c r="D31" s="60">
        <v>5.7727272727272725</v>
      </c>
      <c r="E31" s="60">
        <v>39.68181818181818</v>
      </c>
      <c r="F31" s="61">
        <v>873</v>
      </c>
      <c r="G31" s="61">
        <v>127</v>
      </c>
      <c r="H31" s="61">
        <v>22</v>
      </c>
      <c r="I31" s="60"/>
      <c r="J31" s="60"/>
    </row>
    <row r="32" spans="1:10" x14ac:dyDescent="0.25">
      <c r="A32" s="52" t="s">
        <v>224</v>
      </c>
      <c r="B32" s="60">
        <v>6.3157894736842107E-2</v>
      </c>
      <c r="C32" s="60">
        <v>5.7142857142857141E-2</v>
      </c>
      <c r="D32" s="60">
        <v>15.833333333333334</v>
      </c>
      <c r="E32" s="60">
        <v>17.5</v>
      </c>
      <c r="F32" s="61">
        <v>525</v>
      </c>
      <c r="G32" s="61">
        <v>475</v>
      </c>
      <c r="H32" s="61">
        <v>30</v>
      </c>
      <c r="I32" s="60"/>
      <c r="J32" s="60"/>
    </row>
    <row r="33" spans="1:10" x14ac:dyDescent="0.25">
      <c r="A33" s="52" t="s">
        <v>225</v>
      </c>
      <c r="B33" s="60">
        <v>5.350553505535055E-2</v>
      </c>
      <c r="C33" s="60">
        <v>6.3318777292576428E-2</v>
      </c>
      <c r="D33" s="60">
        <v>18.689655172413794</v>
      </c>
      <c r="E33" s="60">
        <v>15.793103448275861</v>
      </c>
      <c r="F33" s="61">
        <v>458</v>
      </c>
      <c r="G33" s="61">
        <v>542</v>
      </c>
      <c r="H33" s="61">
        <v>29</v>
      </c>
      <c r="I33" s="60"/>
      <c r="J33" s="60"/>
    </row>
    <row r="34" spans="1:10" x14ac:dyDescent="0.25">
      <c r="A34" s="52" t="s">
        <v>226</v>
      </c>
      <c r="B34" s="52">
        <v>0.44230769230769235</v>
      </c>
      <c r="C34" s="47">
        <v>2.4261603375527425E-2</v>
      </c>
      <c r="D34" s="47">
        <v>2.2608695652173911</v>
      </c>
      <c r="E34" s="47">
        <v>41.217391304347828</v>
      </c>
      <c r="F34" s="59">
        <v>948</v>
      </c>
      <c r="G34" s="59">
        <v>52</v>
      </c>
      <c r="H34" s="59">
        <v>23</v>
      </c>
    </row>
    <row r="35" spans="1:10" x14ac:dyDescent="0.25">
      <c r="A35" s="52" t="s">
        <v>227</v>
      </c>
      <c r="B35" s="52">
        <v>0.10373443983402489</v>
      </c>
      <c r="C35" s="47">
        <v>3.2938076416337288E-2</v>
      </c>
      <c r="D35" s="47">
        <v>9.64</v>
      </c>
      <c r="E35" s="47">
        <v>30.36</v>
      </c>
      <c r="F35" s="59">
        <v>759</v>
      </c>
      <c r="G35" s="59">
        <v>241</v>
      </c>
      <c r="H35" s="59">
        <v>25</v>
      </c>
    </row>
    <row r="36" spans="1:10" x14ac:dyDescent="0.25">
      <c r="A36" s="52" t="s">
        <v>228</v>
      </c>
      <c r="B36" s="52">
        <v>1.6509433962264151E-2</v>
      </c>
      <c r="C36" s="47">
        <v>9.2105263157894732E-2</v>
      </c>
      <c r="D36" s="47">
        <v>60.571428571428569</v>
      </c>
      <c r="E36" s="47">
        <v>10.857142857142858</v>
      </c>
      <c r="F36" s="59">
        <v>152</v>
      </c>
      <c r="G36" s="59">
        <v>848</v>
      </c>
      <c r="H36" s="59">
        <v>14</v>
      </c>
    </row>
    <row r="37" spans="1:10" x14ac:dyDescent="0.25">
      <c r="A37" s="52" t="s">
        <v>229</v>
      </c>
      <c r="B37" s="52">
        <v>0.3666666666666667</v>
      </c>
      <c r="C37" s="47">
        <v>1.134020618556701E-2</v>
      </c>
      <c r="D37" s="47">
        <v>2.7272727272727271</v>
      </c>
      <c r="E37" s="47">
        <v>88.181818181818187</v>
      </c>
      <c r="F37" s="59">
        <v>970</v>
      </c>
      <c r="G37" s="59">
        <v>30</v>
      </c>
      <c r="H37" s="59">
        <v>11</v>
      </c>
    </row>
    <row r="38" spans="1:10" x14ac:dyDescent="0.25">
      <c r="A38" s="52" t="s">
        <v>230</v>
      </c>
      <c r="B38" s="52">
        <v>3.6821705426356585E-2</v>
      </c>
      <c r="C38" s="47">
        <v>3.9256198347107439E-2</v>
      </c>
      <c r="D38" s="47">
        <v>27.157894736842106</v>
      </c>
      <c r="E38" s="47">
        <v>25.473684210526315</v>
      </c>
      <c r="F38" s="59">
        <v>484</v>
      </c>
      <c r="G38" s="59">
        <v>516</v>
      </c>
      <c r="H38" s="59">
        <v>19</v>
      </c>
    </row>
    <row r="39" spans="1:10" x14ac:dyDescent="0.25">
      <c r="A39" s="52" t="s">
        <v>231</v>
      </c>
      <c r="B39" s="52">
        <v>1.3333333333333334E-2</v>
      </c>
      <c r="C39" s="47">
        <v>2.352941176470588E-3</v>
      </c>
      <c r="D39" s="47">
        <v>75</v>
      </c>
      <c r="E39" s="47">
        <v>425</v>
      </c>
      <c r="F39" s="59">
        <v>850</v>
      </c>
      <c r="G39" s="59">
        <v>150</v>
      </c>
      <c r="H39" s="59">
        <v>2</v>
      </c>
    </row>
    <row r="40" spans="1:10" x14ac:dyDescent="0.25">
      <c r="A40" s="52" t="s">
        <v>232</v>
      </c>
      <c r="B40" s="52">
        <v>1.6638935108153079E-3</v>
      </c>
      <c r="C40" s="47">
        <v>2.5062656641604009E-3</v>
      </c>
      <c r="D40" s="47">
        <v>601</v>
      </c>
      <c r="E40" s="47">
        <v>399</v>
      </c>
      <c r="F40" s="59">
        <v>399</v>
      </c>
      <c r="G40" s="59">
        <v>601</v>
      </c>
      <c r="H40" s="59">
        <v>1</v>
      </c>
    </row>
    <row r="41" spans="1:10" x14ac:dyDescent="0.25">
      <c r="A41" s="52" t="s">
        <v>233</v>
      </c>
      <c r="B41" s="52">
        <v>6.7796610169491523E-3</v>
      </c>
      <c r="C41" s="47">
        <v>5.2173913043478258E-2</v>
      </c>
      <c r="D41" s="47">
        <v>147.5</v>
      </c>
      <c r="E41" s="47">
        <v>19.166666666666668</v>
      </c>
      <c r="F41" s="59">
        <v>115</v>
      </c>
      <c r="G41" s="59">
        <v>885</v>
      </c>
      <c r="H41" s="59">
        <v>6</v>
      </c>
    </row>
    <row r="42" spans="1:10" x14ac:dyDescent="0.25">
      <c r="A42" s="52" t="s">
        <v>234</v>
      </c>
      <c r="B42" s="52">
        <v>0.72</v>
      </c>
      <c r="C42" s="47">
        <v>1.8461538461538463E-2</v>
      </c>
      <c r="D42" s="47">
        <v>1.3888888888888888</v>
      </c>
      <c r="E42" s="47">
        <v>54.166666666666664</v>
      </c>
      <c r="F42" s="59">
        <v>975</v>
      </c>
      <c r="G42" s="59">
        <v>25</v>
      </c>
      <c r="H42" s="59">
        <v>18</v>
      </c>
    </row>
    <row r="43" spans="1:10" x14ac:dyDescent="0.25">
      <c r="A43" s="52" t="s">
        <v>235</v>
      </c>
      <c r="B43" s="52">
        <v>2.1715526601520088E-3</v>
      </c>
      <c r="C43" s="47">
        <v>2.5316455696202531E-2</v>
      </c>
      <c r="D43" s="47">
        <v>460.5</v>
      </c>
      <c r="E43" s="47">
        <v>39.5</v>
      </c>
      <c r="F43" s="59">
        <v>79</v>
      </c>
      <c r="G43" s="59">
        <v>921</v>
      </c>
      <c r="H43" s="59">
        <v>2</v>
      </c>
    </row>
    <row r="44" spans="1:10" x14ac:dyDescent="0.25">
      <c r="A44" s="52" t="s">
        <v>236</v>
      </c>
      <c r="B44" s="52">
        <v>3.7037037037037035E-2</v>
      </c>
      <c r="C44" s="47">
        <v>1.7751479289940829E-2</v>
      </c>
      <c r="D44" s="47">
        <v>27</v>
      </c>
      <c r="E44" s="47">
        <v>56.333333333333336</v>
      </c>
      <c r="F44" s="59">
        <v>676</v>
      </c>
      <c r="G44" s="59">
        <v>324</v>
      </c>
      <c r="H44" s="59">
        <v>12</v>
      </c>
    </row>
    <row r="45" spans="1:10" x14ac:dyDescent="0.25">
      <c r="A45" s="52" t="s">
        <v>237</v>
      </c>
      <c r="B45" s="52">
        <v>5.3215077605321508E-2</v>
      </c>
      <c r="C45" s="47">
        <v>4.3715846994535519E-2</v>
      </c>
      <c r="D45" s="47">
        <v>18.791666666666668</v>
      </c>
      <c r="E45" s="47">
        <v>22.875</v>
      </c>
      <c r="F45" s="59">
        <v>549</v>
      </c>
      <c r="G45" s="59">
        <v>451</v>
      </c>
      <c r="H45" s="59">
        <v>24</v>
      </c>
    </row>
    <row r="46" spans="1:10" x14ac:dyDescent="0.25">
      <c r="A46" s="52" t="s">
        <v>238</v>
      </c>
      <c r="B46" s="52">
        <v>6.3492063492063492E-3</v>
      </c>
      <c r="C46" s="47">
        <v>1.0810810810810811E-2</v>
      </c>
      <c r="D46" s="47">
        <v>157.5</v>
      </c>
      <c r="E46" s="47">
        <v>92.5</v>
      </c>
      <c r="F46" s="59">
        <v>370</v>
      </c>
      <c r="G46" s="59">
        <v>630</v>
      </c>
      <c r="H46" s="59">
        <v>4</v>
      </c>
    </row>
    <row r="47" spans="1:10" x14ac:dyDescent="0.25">
      <c r="A47" s="52" t="s">
        <v>239</v>
      </c>
      <c r="B47" s="52">
        <v>0.2857142857142857</v>
      </c>
      <c r="C47" s="47">
        <v>1.2526096033402923E-2</v>
      </c>
      <c r="D47" s="47">
        <v>3.5</v>
      </c>
      <c r="E47" s="47">
        <v>79.833333333333329</v>
      </c>
      <c r="F47" s="59">
        <v>958</v>
      </c>
      <c r="G47" s="59">
        <v>42</v>
      </c>
      <c r="H47" s="59">
        <v>12</v>
      </c>
    </row>
    <row r="48" spans="1:10" x14ac:dyDescent="0.25">
      <c r="A48" s="52" t="s">
        <v>240</v>
      </c>
      <c r="B48" s="52">
        <v>3.6764705882352942E-2</v>
      </c>
      <c r="C48" s="47">
        <v>2.5337837837837836E-2</v>
      </c>
      <c r="D48" s="47">
        <v>27.2</v>
      </c>
      <c r="E48" s="47">
        <v>39.466666666666669</v>
      </c>
      <c r="F48" s="59">
        <v>592</v>
      </c>
      <c r="G48" s="59">
        <v>408</v>
      </c>
      <c r="H48" s="59">
        <v>15</v>
      </c>
    </row>
    <row r="49" spans="1:8" x14ac:dyDescent="0.25">
      <c r="A49" s="52" t="s">
        <v>241</v>
      </c>
      <c r="B49" s="52">
        <v>0.10126582278481013</v>
      </c>
      <c r="C49" s="47">
        <v>3.1454783748361727E-2</v>
      </c>
      <c r="D49" s="47">
        <v>9.875</v>
      </c>
      <c r="E49" s="47">
        <v>31.791666666666668</v>
      </c>
      <c r="F49" s="59">
        <v>763</v>
      </c>
      <c r="G49" s="59">
        <v>237</v>
      </c>
      <c r="H49" s="59">
        <v>24</v>
      </c>
    </row>
    <row r="50" spans="1:8" x14ac:dyDescent="0.25">
      <c r="A50" s="52" t="s">
        <v>242</v>
      </c>
      <c r="B50" s="52">
        <v>8.5561497326203211E-3</v>
      </c>
      <c r="C50" s="47">
        <v>0.12307692307692308</v>
      </c>
      <c r="D50" s="47">
        <v>116.875</v>
      </c>
      <c r="E50" s="47">
        <v>8.125</v>
      </c>
      <c r="F50" s="59">
        <v>65</v>
      </c>
      <c r="G50" s="59">
        <v>935</v>
      </c>
      <c r="H50" s="59">
        <v>8</v>
      </c>
    </row>
    <row r="51" spans="1:8" x14ac:dyDescent="0.25">
      <c r="A51" s="52" t="s">
        <v>243</v>
      </c>
      <c r="B51" s="47">
        <v>1.4130434782608696E-2</v>
      </c>
      <c r="C51" s="47">
        <v>0.16249999999999998</v>
      </c>
      <c r="D51" s="47">
        <v>70.769230769230774</v>
      </c>
      <c r="E51" s="47">
        <v>6.1538461538461542</v>
      </c>
      <c r="F51" s="59">
        <v>80</v>
      </c>
      <c r="G51" s="59">
        <v>920</v>
      </c>
      <c r="H51" s="59">
        <v>13</v>
      </c>
    </row>
    <row r="52" spans="1:8" x14ac:dyDescent="0.25">
      <c r="A52" s="47"/>
    </row>
    <row r="53" spans="1:8" x14ac:dyDescent="0.25">
      <c r="A53" s="47"/>
    </row>
    <row r="54" spans="1:8" x14ac:dyDescent="0.25">
      <c r="A54" s="47"/>
    </row>
    <row r="55" spans="1:8" x14ac:dyDescent="0.25">
      <c r="A55" s="47"/>
    </row>
    <row r="56" spans="1:8" x14ac:dyDescent="0.25">
      <c r="A56" s="47"/>
    </row>
    <row r="57" spans="1:8" x14ac:dyDescent="0.25">
      <c r="A57" s="47"/>
    </row>
    <row r="58" spans="1:8" x14ac:dyDescent="0.25">
      <c r="A58" s="47"/>
    </row>
    <row r="59" spans="1:8" x14ac:dyDescent="0.25">
      <c r="A59" s="47"/>
    </row>
    <row r="60" spans="1:8" x14ac:dyDescent="0.25">
      <c r="A60" s="47"/>
    </row>
    <row r="61" spans="1:8" x14ac:dyDescent="0.25">
      <c r="A61" s="47"/>
    </row>
    <row r="62" spans="1:8" x14ac:dyDescent="0.25">
      <c r="A62" s="47"/>
    </row>
    <row r="63" spans="1:8" x14ac:dyDescent="0.25">
      <c r="A63" s="47"/>
    </row>
    <row r="64" spans="1:8" x14ac:dyDescent="0.25">
      <c r="A64" s="47"/>
    </row>
    <row r="65" spans="1:1" x14ac:dyDescent="0.25">
      <c r="A65" s="47"/>
    </row>
    <row r="66" spans="1:1" x14ac:dyDescent="0.25">
      <c r="A66" s="47"/>
    </row>
    <row r="67" spans="1:1" x14ac:dyDescent="0.25">
      <c r="A67" s="47"/>
    </row>
    <row r="68" spans="1:1" x14ac:dyDescent="0.25">
      <c r="A68" s="47"/>
    </row>
    <row r="69" spans="1:1" x14ac:dyDescent="0.25">
      <c r="A69" s="47"/>
    </row>
    <row r="70" spans="1:1" x14ac:dyDescent="0.25">
      <c r="A70" s="47"/>
    </row>
    <row r="71" spans="1:1" x14ac:dyDescent="0.25">
      <c r="A71" s="47"/>
    </row>
    <row r="72" spans="1:1" x14ac:dyDescent="0.25">
      <c r="A72" s="47"/>
    </row>
    <row r="73" spans="1:1" x14ac:dyDescent="0.25">
      <c r="A73" s="47"/>
    </row>
    <row r="74" spans="1:1" x14ac:dyDescent="0.25">
      <c r="A74" s="47"/>
    </row>
    <row r="75" spans="1:1" x14ac:dyDescent="0.25">
      <c r="A75" s="47"/>
    </row>
    <row r="76" spans="1:1" x14ac:dyDescent="0.25">
      <c r="A76" s="47"/>
    </row>
    <row r="77" spans="1:1" x14ac:dyDescent="0.25">
      <c r="A77" s="47"/>
    </row>
    <row r="78" spans="1:1" x14ac:dyDescent="0.25">
      <c r="A78" s="47"/>
    </row>
    <row r="79" spans="1:1" x14ac:dyDescent="0.25">
      <c r="A79" s="47"/>
    </row>
    <row r="80" spans="1:1" x14ac:dyDescent="0.25">
      <c r="A80" s="47"/>
    </row>
    <row r="81" spans="1:1" x14ac:dyDescent="0.25">
      <c r="A81" s="47"/>
    </row>
    <row r="82" spans="1:1" x14ac:dyDescent="0.25">
      <c r="A82" s="47"/>
    </row>
    <row r="83" spans="1:1" x14ac:dyDescent="0.25">
      <c r="A83" s="47"/>
    </row>
    <row r="84" spans="1:1" x14ac:dyDescent="0.25">
      <c r="A84" s="47"/>
    </row>
    <row r="85" spans="1:1" x14ac:dyDescent="0.25">
      <c r="A85" s="47"/>
    </row>
    <row r="86" spans="1:1" x14ac:dyDescent="0.25">
      <c r="A86" s="47"/>
    </row>
    <row r="87" spans="1:1" x14ac:dyDescent="0.25">
      <c r="A87" s="47"/>
    </row>
    <row r="88" spans="1:1" x14ac:dyDescent="0.25">
      <c r="A88" s="47"/>
    </row>
    <row r="89" spans="1:1" x14ac:dyDescent="0.25">
      <c r="A89" s="47"/>
    </row>
    <row r="90" spans="1:1" x14ac:dyDescent="0.25">
      <c r="A90" s="47"/>
    </row>
    <row r="91" spans="1:1" x14ac:dyDescent="0.25">
      <c r="A91" s="47"/>
    </row>
    <row r="92" spans="1:1" x14ac:dyDescent="0.25">
      <c r="A92" s="47"/>
    </row>
    <row r="93" spans="1:1" x14ac:dyDescent="0.25">
      <c r="A93" s="47"/>
    </row>
    <row r="94" spans="1:1" x14ac:dyDescent="0.25">
      <c r="A94" s="47"/>
    </row>
    <row r="95" spans="1:1" x14ac:dyDescent="0.25">
      <c r="A95" s="47"/>
    </row>
    <row r="96" spans="1:1" x14ac:dyDescent="0.25">
      <c r="A96" s="47"/>
    </row>
    <row r="97" spans="1:1" x14ac:dyDescent="0.25">
      <c r="A97" s="47"/>
    </row>
    <row r="98" spans="1:1" x14ac:dyDescent="0.25">
      <c r="A98" s="47"/>
    </row>
    <row r="99" spans="1:1" x14ac:dyDescent="0.25">
      <c r="A99" s="47"/>
    </row>
    <row r="100" spans="1:1" x14ac:dyDescent="0.25">
      <c r="A100" s="47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21"/>
  <dimension ref="A1:R9"/>
  <sheetViews>
    <sheetView topLeftCell="D1" workbookViewId="0">
      <selection activeCell="Q11" sqref="Q11"/>
    </sheetView>
  </sheetViews>
  <sheetFormatPr defaultRowHeight="15" x14ac:dyDescent="0.25"/>
  <cols>
    <col min="1" max="1" width="10.28515625" style="3" bestFit="1" customWidth="1"/>
    <col min="2" max="6" width="9.140625" style="3"/>
    <col min="7" max="7" width="7.140625" style="3" bestFit="1" customWidth="1"/>
    <col min="8" max="8" width="10.28515625" style="3" bestFit="1" customWidth="1"/>
    <col min="9" max="9" width="15.28515625" style="3" customWidth="1"/>
    <col min="10" max="13" width="9.140625" style="3"/>
    <col min="14" max="14" width="17.7109375" style="3" customWidth="1"/>
    <col min="15" max="15" width="14.7109375" style="3" customWidth="1"/>
    <col min="16" max="16" width="15.5703125" style="3" customWidth="1"/>
    <col min="17" max="16384" width="9.140625" style="3"/>
  </cols>
  <sheetData>
    <row r="1" spans="1:18" s="23" customFormat="1" ht="57" customHeight="1" x14ac:dyDescent="0.25">
      <c r="B1" s="23" t="s">
        <v>309</v>
      </c>
      <c r="C1" s="23" t="s">
        <v>289</v>
      </c>
      <c r="D1" s="23" t="s">
        <v>141</v>
      </c>
      <c r="E1" s="23" t="s">
        <v>290</v>
      </c>
      <c r="F1" s="23" t="s">
        <v>291</v>
      </c>
      <c r="G1" s="23" t="s">
        <v>292</v>
      </c>
      <c r="H1" s="23" t="s">
        <v>293</v>
      </c>
      <c r="I1" s="25" t="s">
        <v>310</v>
      </c>
      <c r="M1" s="25"/>
      <c r="N1" s="25" t="s">
        <v>311</v>
      </c>
      <c r="O1" s="25" t="s">
        <v>312</v>
      </c>
      <c r="P1" s="25" t="s">
        <v>313</v>
      </c>
      <c r="Q1" s="23">
        <v>0.57402622222222222</v>
      </c>
      <c r="R1" s="23">
        <v>0.59188363003536482</v>
      </c>
    </row>
    <row r="2" spans="1:18" x14ac:dyDescent="0.25">
      <c r="A2" s="3" t="s">
        <v>301</v>
      </c>
      <c r="B2" s="3">
        <v>2.3863636363636365E-2</v>
      </c>
      <c r="C2" s="3">
        <v>3.3870967741935487E-2</v>
      </c>
      <c r="D2" s="3">
        <v>41.904761904761905</v>
      </c>
      <c r="E2" s="3">
        <v>29.523809523809522</v>
      </c>
      <c r="F2" s="3">
        <v>586.66666666666663</v>
      </c>
      <c r="G2" s="3">
        <v>413.33333333333331</v>
      </c>
      <c r="H2" s="3">
        <v>14</v>
      </c>
      <c r="I2" s="3">
        <v>0.58666666666666667</v>
      </c>
      <c r="O2" s="5"/>
      <c r="P2" s="5"/>
      <c r="Q2" s="3">
        <v>57.4</v>
      </c>
      <c r="R2" s="3">
        <v>59.19</v>
      </c>
    </row>
    <row r="3" spans="1:18" x14ac:dyDescent="0.25">
      <c r="A3" s="3" t="s">
        <v>302</v>
      </c>
      <c r="B3" s="3">
        <v>4.0307101727447218E-2</v>
      </c>
      <c r="C3" s="3">
        <v>2.1450459652706845E-2</v>
      </c>
      <c r="D3" s="3">
        <v>24.809523809523807</v>
      </c>
      <c r="E3" s="3">
        <v>46.619047619047613</v>
      </c>
      <c r="F3" s="3">
        <v>347.33333333333331</v>
      </c>
      <c r="G3" s="3">
        <v>652.66666666666663</v>
      </c>
      <c r="H3" s="3">
        <v>14</v>
      </c>
      <c r="I3" s="3">
        <v>0.34733333333333333</v>
      </c>
      <c r="J3" s="3">
        <v>62.82207305802811</v>
      </c>
      <c r="K3" s="3">
        <v>38.52287301587301</v>
      </c>
      <c r="L3" s="3">
        <v>43.81579843377596</v>
      </c>
      <c r="M3" s="3">
        <v>32.514858141723813</v>
      </c>
      <c r="N3" s="3">
        <v>0.61988363003536473</v>
      </c>
      <c r="O3" s="3">
        <v>0.57402622222222222</v>
      </c>
      <c r="P3" s="3">
        <v>0.59188363003536482</v>
      </c>
    </row>
    <row r="4" spans="1:18" x14ac:dyDescent="0.25">
      <c r="A4" s="3" t="s">
        <v>303</v>
      </c>
      <c r="B4" s="3">
        <v>3.1263957123715942E-2</v>
      </c>
      <c r="C4" s="3">
        <v>2.5353132922854037E-2</v>
      </c>
      <c r="D4" s="3">
        <v>31.985714285714288</v>
      </c>
      <c r="E4" s="3">
        <v>39.442857142857143</v>
      </c>
      <c r="F4" s="3">
        <v>447.8</v>
      </c>
      <c r="G4" s="3">
        <v>552.20000000000005</v>
      </c>
      <c r="H4" s="3">
        <v>14</v>
      </c>
      <c r="I4" s="3">
        <v>0.44780000000000003</v>
      </c>
    </row>
    <row r="5" spans="1:18" x14ac:dyDescent="0.25">
      <c r="A5" s="3" t="s">
        <v>304</v>
      </c>
      <c r="B5" s="3">
        <v>2.7794935145151325E-2</v>
      </c>
      <c r="C5" s="3">
        <v>5.1078320090805908E-2</v>
      </c>
      <c r="D5" s="3">
        <v>35.977777777777781</v>
      </c>
      <c r="E5" s="3">
        <v>19.577777777777776</v>
      </c>
      <c r="F5" s="3">
        <v>647.6</v>
      </c>
      <c r="G5" s="3">
        <v>352.4</v>
      </c>
      <c r="H5" s="3">
        <v>18</v>
      </c>
      <c r="I5" s="3">
        <v>0.64760000000000006</v>
      </c>
    </row>
    <row r="6" spans="1:18" x14ac:dyDescent="0.25">
      <c r="A6" s="3" t="s">
        <v>305</v>
      </c>
      <c r="B6" s="3">
        <v>2.6984126984126982E-2</v>
      </c>
      <c r="C6" s="3">
        <v>4.5945945945945942E-2</v>
      </c>
      <c r="D6" s="3">
        <v>37.058823529411768</v>
      </c>
      <c r="E6" s="3">
        <v>21.764705882352942</v>
      </c>
      <c r="F6" s="3">
        <v>630</v>
      </c>
      <c r="G6" s="3">
        <v>370</v>
      </c>
      <c r="H6" s="3">
        <v>17</v>
      </c>
      <c r="I6" s="3">
        <v>0.63</v>
      </c>
    </row>
    <row r="7" spans="1:18" x14ac:dyDescent="0.25">
      <c r="A7" s="3" t="s">
        <v>306</v>
      </c>
      <c r="B7" s="3">
        <v>4.7799696509863432E-2</v>
      </c>
      <c r="C7" s="3">
        <v>3.7455410225921526E-2</v>
      </c>
      <c r="D7" s="3">
        <v>20.920634920634921</v>
      </c>
      <c r="E7" s="3">
        <v>26.698412698412696</v>
      </c>
      <c r="F7" s="3">
        <v>439.33333333333331</v>
      </c>
      <c r="G7" s="3">
        <v>560.66666666666663</v>
      </c>
      <c r="H7" s="3">
        <v>21</v>
      </c>
      <c r="I7" s="3">
        <v>0.43933333333333335</v>
      </c>
    </row>
    <row r="8" spans="1:18" x14ac:dyDescent="0.25">
      <c r="A8" s="3" t="s">
        <v>307</v>
      </c>
      <c r="B8" s="3">
        <v>1.4825796886582653E-2</v>
      </c>
      <c r="C8" s="3">
        <v>1.7376194613379671E-2</v>
      </c>
      <c r="D8" s="3">
        <v>67.45</v>
      </c>
      <c r="E8" s="3">
        <v>57.55</v>
      </c>
      <c r="F8" s="3">
        <v>539.6</v>
      </c>
      <c r="G8" s="3">
        <v>460.4</v>
      </c>
      <c r="H8" s="3">
        <v>8</v>
      </c>
      <c r="I8" s="3">
        <v>0.53959999999999997</v>
      </c>
    </row>
    <row r="9" spans="1:18" x14ac:dyDescent="0.25">
      <c r="A9" s="3" t="s">
        <v>308</v>
      </c>
      <c r="B9" s="3">
        <v>4.0339702760084924E-2</v>
      </c>
      <c r="C9" s="3">
        <v>3.5916824196597356E-2</v>
      </c>
      <c r="D9" s="3">
        <v>24.789473684210527</v>
      </c>
      <c r="E9" s="3">
        <v>27.842105263157894</v>
      </c>
      <c r="F9" s="3">
        <v>471</v>
      </c>
      <c r="G9" s="3">
        <v>529</v>
      </c>
      <c r="H9" s="3">
        <v>19</v>
      </c>
      <c r="I9" s="3">
        <v>0.47100000000000003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6"/>
  <dimension ref="A1:AD100"/>
  <sheetViews>
    <sheetView zoomScale="70" zoomScaleNormal="70" workbookViewId="0">
      <selection activeCell="M44" sqref="M44"/>
    </sheetView>
  </sheetViews>
  <sheetFormatPr defaultRowHeight="15" x14ac:dyDescent="0.25"/>
  <cols>
    <col min="1" max="16384" width="9.140625" style="47"/>
  </cols>
  <sheetData>
    <row r="1" spans="1:30" s="87" customFormat="1" x14ac:dyDescent="0.25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4</v>
      </c>
      <c r="G1" t="s">
        <v>13</v>
      </c>
      <c r="H1" t="s">
        <v>14</v>
      </c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 s="87" t="s">
        <v>295</v>
      </c>
      <c r="Z1" s="87" t="s">
        <v>296</v>
      </c>
      <c r="AA1" s="87" t="s">
        <v>297</v>
      </c>
      <c r="AB1" s="87" t="s">
        <v>298</v>
      </c>
      <c r="AC1" s="87" t="s">
        <v>299</v>
      </c>
      <c r="AD1" s="87" t="s">
        <v>300</v>
      </c>
    </row>
    <row r="2" spans="1:30" x14ac:dyDescent="0.25">
      <c r="A2" t="s">
        <v>235</v>
      </c>
      <c r="B2" t="s">
        <v>227</v>
      </c>
      <c r="C2" t="s">
        <v>215</v>
      </c>
      <c r="D2" t="s">
        <v>216</v>
      </c>
      <c r="E2" t="s">
        <v>197</v>
      </c>
      <c r="F2" t="s">
        <v>240</v>
      </c>
      <c r="G2" t="s">
        <v>209</v>
      </c>
      <c r="H2" t="s">
        <v>194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</row>
    <row r="3" spans="1:30" x14ac:dyDescent="0.25">
      <c r="A3" t="s">
        <v>214</v>
      </c>
      <c r="B3" t="s">
        <v>239</v>
      </c>
      <c r="C3" t="s">
        <v>218</v>
      </c>
      <c r="D3" t="s">
        <v>198</v>
      </c>
      <c r="E3" t="s">
        <v>200</v>
      </c>
      <c r="F3" t="s">
        <v>203</v>
      </c>
      <c r="G3" t="s">
        <v>217</v>
      </c>
      <c r="H3" t="s">
        <v>221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30" x14ac:dyDescent="0.25">
      <c r="A4" t="s">
        <v>242</v>
      </c>
      <c r="B4" t="s">
        <v>213</v>
      </c>
      <c r="C4" t="s">
        <v>233</v>
      </c>
      <c r="D4" t="s">
        <v>232</v>
      </c>
      <c r="E4" t="s">
        <v>199</v>
      </c>
      <c r="F4" t="s">
        <v>237</v>
      </c>
      <c r="G4" t="s">
        <v>210</v>
      </c>
      <c r="H4" t="s">
        <v>228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30" x14ac:dyDescent="0.25">
      <c r="A5"/>
      <c r="B5" t="s">
        <v>206</v>
      </c>
      <c r="C5" t="s">
        <v>202</v>
      </c>
      <c r="D5" t="s">
        <v>236</v>
      </c>
      <c r="E5" t="s">
        <v>220</v>
      </c>
      <c r="F5" t="s">
        <v>224</v>
      </c>
      <c r="G5" t="s">
        <v>238</v>
      </c>
      <c r="H5" t="s">
        <v>196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30" x14ac:dyDescent="0.25">
      <c r="A6"/>
      <c r="B6"/>
      <c r="C6" t="s">
        <v>234</v>
      </c>
      <c r="D6" t="s">
        <v>208</v>
      </c>
      <c r="E6" t="s">
        <v>201</v>
      </c>
      <c r="F6" t="s">
        <v>195</v>
      </c>
      <c r="G6" t="s">
        <v>204</v>
      </c>
      <c r="H6" t="s">
        <v>223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</row>
    <row r="7" spans="1:30" x14ac:dyDescent="0.25">
      <c r="A7"/>
      <c r="B7"/>
      <c r="C7" t="s">
        <v>207</v>
      </c>
      <c r="D7" t="s">
        <v>230</v>
      </c>
      <c r="E7" t="s">
        <v>219</v>
      </c>
      <c r="F7" t="s">
        <v>229</v>
      </c>
      <c r="G7" t="s">
        <v>241</v>
      </c>
      <c r="H7" t="s">
        <v>226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1:30" x14ac:dyDescent="0.25">
      <c r="A8"/>
      <c r="B8"/>
      <c r="C8"/>
      <c r="D8"/>
      <c r="E8" t="s">
        <v>225</v>
      </c>
      <c r="F8" t="s">
        <v>222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1:30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1:3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1:3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1:3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1:3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1:3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1:3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1:3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4"/>
  <dimension ref="B1:I4"/>
  <sheetViews>
    <sheetView workbookViewId="0">
      <selection activeCell="L25" sqref="L25"/>
    </sheetView>
  </sheetViews>
  <sheetFormatPr defaultRowHeight="15" x14ac:dyDescent="0.25"/>
  <sheetData>
    <row r="1" spans="2:9" x14ac:dyDescent="0.25">
      <c r="B1" t="s">
        <v>0</v>
      </c>
      <c r="C1" t="s">
        <v>1</v>
      </c>
      <c r="D1" t="s">
        <v>2</v>
      </c>
      <c r="E1" t="s">
        <v>3</v>
      </c>
      <c r="F1" t="s">
        <v>5</v>
      </c>
      <c r="G1" t="s">
        <v>4</v>
      </c>
      <c r="H1" t="s">
        <v>13</v>
      </c>
    </row>
    <row r="2" spans="2:9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2:9" x14ac:dyDescent="0.25">
      <c r="B3">
        <v>1</v>
      </c>
      <c r="C3">
        <v>2</v>
      </c>
      <c r="D3">
        <v>10</v>
      </c>
      <c r="E3">
        <v>0</v>
      </c>
      <c r="F3">
        <v>4</v>
      </c>
      <c r="G3">
        <v>5</v>
      </c>
      <c r="H3">
        <v>0</v>
      </c>
      <c r="I3">
        <v>-22</v>
      </c>
    </row>
    <row r="4" spans="2:9" x14ac:dyDescent="0.25"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"/>
  <dimension ref="E4:N25"/>
  <sheetViews>
    <sheetView showGridLines="0" zoomScale="40" zoomScaleNormal="40" workbookViewId="0">
      <selection activeCell="K45" sqref="K45"/>
    </sheetView>
  </sheetViews>
  <sheetFormatPr defaultRowHeight="15" x14ac:dyDescent="0.25"/>
  <cols>
    <col min="5" max="5" width="18.7109375" customWidth="1"/>
  </cols>
  <sheetData>
    <row r="4" spans="5:14" ht="104.25" customHeight="1" x14ac:dyDescent="0.25">
      <c r="E4" s="51"/>
    </row>
    <row r="16" spans="5:14" x14ac:dyDescent="0.25">
      <c r="F16" s="36"/>
      <c r="G16" s="36"/>
      <c r="H16" s="36"/>
      <c r="I16" s="36"/>
      <c r="J16" s="36"/>
      <c r="K16" s="36"/>
      <c r="L16" s="36"/>
      <c r="M16" s="36"/>
      <c r="N16" s="36"/>
    </row>
    <row r="17" spans="6:14" x14ac:dyDescent="0.25">
      <c r="F17" s="36"/>
      <c r="G17" s="36"/>
      <c r="H17" s="36"/>
      <c r="I17" s="36"/>
      <c r="J17" s="36"/>
      <c r="K17" s="36"/>
      <c r="L17" s="36"/>
      <c r="M17" s="36"/>
      <c r="N17" s="36"/>
    </row>
    <row r="18" spans="6:14" x14ac:dyDescent="0.25">
      <c r="F18" s="36"/>
      <c r="G18" s="36"/>
      <c r="H18" s="36"/>
      <c r="I18" s="36"/>
      <c r="J18" s="36"/>
      <c r="K18" s="36"/>
      <c r="L18" s="36"/>
      <c r="M18" s="36"/>
      <c r="N18" s="36"/>
    </row>
    <row r="19" spans="6:14" x14ac:dyDescent="0.25">
      <c r="F19" s="36"/>
      <c r="G19" s="36"/>
      <c r="H19" s="36"/>
      <c r="I19" s="36"/>
      <c r="J19" s="36"/>
      <c r="K19" s="36"/>
      <c r="L19" s="36"/>
      <c r="M19" s="36"/>
      <c r="N19" s="36"/>
    </row>
    <row r="20" spans="6:14" x14ac:dyDescent="0.25">
      <c r="F20" s="36"/>
      <c r="G20" s="36"/>
      <c r="H20" s="36"/>
      <c r="I20" s="36"/>
      <c r="J20" s="36"/>
      <c r="K20" s="36"/>
      <c r="L20" s="36"/>
      <c r="M20" s="36"/>
      <c r="N20" s="36"/>
    </row>
    <row r="21" spans="6:14" x14ac:dyDescent="0.25">
      <c r="F21" s="36"/>
      <c r="G21" s="36"/>
      <c r="H21" s="36"/>
      <c r="I21" s="36"/>
      <c r="J21" s="36"/>
      <c r="K21" s="36"/>
      <c r="L21" s="36"/>
      <c r="M21" s="36"/>
      <c r="N21" s="36"/>
    </row>
    <row r="22" spans="6:14" x14ac:dyDescent="0.25">
      <c r="F22" s="36"/>
      <c r="G22" s="36"/>
      <c r="H22" s="36"/>
      <c r="I22" s="36"/>
      <c r="J22" s="36"/>
      <c r="K22" s="36"/>
      <c r="L22" s="36"/>
      <c r="M22" s="36"/>
      <c r="N22" s="36"/>
    </row>
    <row r="23" spans="6:14" x14ac:dyDescent="0.25">
      <c r="F23" s="36"/>
      <c r="G23" s="36"/>
      <c r="H23" s="36"/>
      <c r="I23" s="36"/>
      <c r="J23" s="36"/>
      <c r="K23" s="36"/>
      <c r="L23" s="36"/>
      <c r="M23" s="36"/>
      <c r="N23" s="36"/>
    </row>
    <row r="24" spans="6:14" x14ac:dyDescent="0.25">
      <c r="F24" s="36"/>
      <c r="G24" s="36"/>
      <c r="H24" s="36"/>
      <c r="I24" s="36"/>
      <c r="J24" s="36"/>
      <c r="K24" s="36"/>
      <c r="L24" s="36"/>
      <c r="M24" s="36"/>
      <c r="N24" s="36"/>
    </row>
    <row r="25" spans="6:14" x14ac:dyDescent="0.25">
      <c r="F25" s="36"/>
      <c r="G25" s="36"/>
      <c r="H25" s="36"/>
      <c r="I25" s="36"/>
      <c r="J25" s="36"/>
      <c r="K25" s="36"/>
      <c r="L25" s="36"/>
      <c r="M25" s="36"/>
      <c r="N25" s="36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"/>
  <dimension ref="A1:P46"/>
  <sheetViews>
    <sheetView zoomScale="40" zoomScaleNormal="40" workbookViewId="0">
      <selection activeCell="D9" sqref="D9"/>
    </sheetView>
  </sheetViews>
  <sheetFormatPr defaultRowHeight="15" x14ac:dyDescent="0.25"/>
  <cols>
    <col min="2" max="5" width="9.140625" style="1"/>
  </cols>
  <sheetData>
    <row r="1" spans="1:5" x14ac:dyDescent="0.25">
      <c r="B1" s="1" t="s">
        <v>12</v>
      </c>
      <c r="C1" s="1" t="s">
        <v>11</v>
      </c>
      <c r="D1" s="1" t="s">
        <v>10</v>
      </c>
      <c r="E1" s="1" t="s">
        <v>9</v>
      </c>
    </row>
    <row r="2" spans="1:5" x14ac:dyDescent="0.25">
      <c r="A2">
        <v>1</v>
      </c>
      <c r="B2" s="1">
        <v>750</v>
      </c>
      <c r="C2" s="1">
        <v>450</v>
      </c>
      <c r="D2" s="1">
        <v>1200</v>
      </c>
      <c r="E2" s="1">
        <v>13</v>
      </c>
    </row>
    <row r="3" spans="1:5" x14ac:dyDescent="0.25">
      <c r="A3">
        <v>2</v>
      </c>
      <c r="B3" s="1">
        <v>100</v>
      </c>
      <c r="C3" s="1">
        <v>700</v>
      </c>
      <c r="D3" s="1">
        <v>800</v>
      </c>
      <c r="E3" s="1">
        <v>28</v>
      </c>
    </row>
    <row r="4" spans="1:5" x14ac:dyDescent="0.25">
      <c r="A4">
        <v>3</v>
      </c>
      <c r="B4" s="1">
        <v>0</v>
      </c>
      <c r="C4" s="1">
        <v>3000</v>
      </c>
      <c r="D4" s="1">
        <v>3000</v>
      </c>
      <c r="E4" s="1">
        <v>47</v>
      </c>
    </row>
    <row r="5" spans="1:5" x14ac:dyDescent="0.25">
      <c r="A5">
        <v>4</v>
      </c>
      <c r="B5" s="1">
        <v>0</v>
      </c>
      <c r="C5" s="1">
        <v>900</v>
      </c>
      <c r="D5" s="1">
        <v>900</v>
      </c>
      <c r="E5" s="1">
        <v>31</v>
      </c>
    </row>
    <row r="6" spans="1:5" x14ac:dyDescent="0.25">
      <c r="A6">
        <v>5</v>
      </c>
      <c r="B6" s="1">
        <v>332</v>
      </c>
      <c r="C6" s="1">
        <v>13</v>
      </c>
      <c r="D6" s="1">
        <v>345</v>
      </c>
      <c r="E6" s="1">
        <v>7</v>
      </c>
    </row>
    <row r="7" spans="1:5" x14ac:dyDescent="0.25">
      <c r="A7">
        <v>6</v>
      </c>
      <c r="B7" s="1">
        <v>2333</v>
      </c>
      <c r="C7" s="1">
        <v>2667</v>
      </c>
      <c r="D7" s="1">
        <v>5000</v>
      </c>
      <c r="E7" s="1">
        <v>17</v>
      </c>
    </row>
    <row r="8" spans="1:5" x14ac:dyDescent="0.25">
      <c r="A8">
        <v>7</v>
      </c>
      <c r="B8" s="1">
        <v>1814</v>
      </c>
      <c r="C8" s="1">
        <v>686</v>
      </c>
      <c r="D8" s="1">
        <v>2500</v>
      </c>
      <c r="E8" s="1">
        <v>10</v>
      </c>
    </row>
    <row r="9" spans="1:5" x14ac:dyDescent="0.25">
      <c r="A9">
        <v>8</v>
      </c>
      <c r="B9" s="1">
        <v>500</v>
      </c>
      <c r="C9" s="1">
        <v>500</v>
      </c>
      <c r="D9" s="1">
        <v>1000</v>
      </c>
      <c r="E9" s="1">
        <v>17</v>
      </c>
    </row>
    <row r="10" spans="1:5" x14ac:dyDescent="0.25">
      <c r="A10">
        <v>9</v>
      </c>
      <c r="B10" s="1">
        <v>3628</v>
      </c>
      <c r="C10" s="1">
        <v>1372</v>
      </c>
      <c r="D10" s="1">
        <v>5000</v>
      </c>
      <c r="E10" s="1">
        <v>9</v>
      </c>
    </row>
    <row r="11" spans="1:5" x14ac:dyDescent="0.25">
      <c r="A11">
        <v>10</v>
      </c>
      <c r="B11" s="1">
        <v>428</v>
      </c>
      <c r="C11" s="1">
        <v>1072</v>
      </c>
      <c r="D11" s="1">
        <v>1500</v>
      </c>
      <c r="E11" s="1">
        <v>22</v>
      </c>
    </row>
    <row r="12" spans="1:5" x14ac:dyDescent="0.25">
      <c r="C12" s="1">
        <f>SUM(C2:C11)</f>
        <v>11360</v>
      </c>
    </row>
    <row r="18" spans="8:14" x14ac:dyDescent="0.25">
      <c r="I18" t="s">
        <v>178</v>
      </c>
      <c r="K18" t="s">
        <v>179</v>
      </c>
    </row>
    <row r="19" spans="8:14" x14ac:dyDescent="0.25">
      <c r="I19">
        <v>0.55000000000000004</v>
      </c>
      <c r="K19">
        <v>0.55000000000000004</v>
      </c>
    </row>
    <row r="20" spans="8:14" x14ac:dyDescent="0.25">
      <c r="H20">
        <v>1</v>
      </c>
      <c r="I20">
        <v>1</v>
      </c>
      <c r="J20">
        <f>$I$19-(($I$19/10)*H20)</f>
        <v>0.49500000000000005</v>
      </c>
      <c r="K20">
        <v>4</v>
      </c>
      <c r="L20">
        <f>$K$19-(($K$19/10)*H20)</f>
        <v>0.49500000000000005</v>
      </c>
      <c r="M20">
        <v>1</v>
      </c>
      <c r="N20">
        <v>0.92999999999999994</v>
      </c>
    </row>
    <row r="21" spans="8:14" x14ac:dyDescent="0.25">
      <c r="H21">
        <v>2</v>
      </c>
      <c r="I21">
        <v>8</v>
      </c>
      <c r="J21">
        <f t="shared" ref="J21:J29" si="0">$I$19-(($I$19/10)*H21)</f>
        <v>0.44000000000000006</v>
      </c>
      <c r="K21">
        <v>2</v>
      </c>
      <c r="L21">
        <f t="shared" ref="L21:L29" si="1">$K$19-(($K$19/10)*H21)</f>
        <v>0.44000000000000006</v>
      </c>
      <c r="M21">
        <v>2</v>
      </c>
      <c r="N21">
        <v>0.78499999999999992</v>
      </c>
    </row>
    <row r="22" spans="8:14" x14ac:dyDescent="0.25">
      <c r="H22">
        <v>3</v>
      </c>
      <c r="I22">
        <v>2</v>
      </c>
      <c r="J22">
        <f t="shared" si="0"/>
        <v>0.38500000000000001</v>
      </c>
      <c r="K22">
        <v>5</v>
      </c>
      <c r="L22">
        <f t="shared" si="1"/>
        <v>0.38500000000000001</v>
      </c>
      <c r="M22">
        <v>3</v>
      </c>
      <c r="N22">
        <v>0.12499999999999997</v>
      </c>
    </row>
    <row r="23" spans="8:14" x14ac:dyDescent="0.25">
      <c r="H23">
        <v>4</v>
      </c>
      <c r="I23">
        <v>7</v>
      </c>
      <c r="J23">
        <f t="shared" si="0"/>
        <v>0.33</v>
      </c>
      <c r="K23">
        <v>8</v>
      </c>
      <c r="L23">
        <f t="shared" si="1"/>
        <v>0.33</v>
      </c>
      <c r="M23">
        <v>4</v>
      </c>
      <c r="N23">
        <v>0.61</v>
      </c>
    </row>
    <row r="24" spans="8:14" x14ac:dyDescent="0.25">
      <c r="H24">
        <v>5</v>
      </c>
      <c r="I24">
        <v>4</v>
      </c>
      <c r="J24">
        <f t="shared" si="0"/>
        <v>0.27500000000000002</v>
      </c>
      <c r="K24">
        <v>1</v>
      </c>
      <c r="L24">
        <f t="shared" si="1"/>
        <v>0.27500000000000002</v>
      </c>
      <c r="M24">
        <v>5</v>
      </c>
      <c r="N24">
        <v>0.3899999999999999</v>
      </c>
    </row>
    <row r="25" spans="8:14" x14ac:dyDescent="0.25">
      <c r="H25">
        <v>6</v>
      </c>
      <c r="I25">
        <v>10</v>
      </c>
      <c r="J25">
        <f t="shared" si="0"/>
        <v>0.21999999999999997</v>
      </c>
      <c r="K25">
        <v>10</v>
      </c>
      <c r="L25">
        <f t="shared" si="1"/>
        <v>0.21999999999999997</v>
      </c>
      <c r="M25">
        <v>6</v>
      </c>
      <c r="N25">
        <v>0</v>
      </c>
    </row>
    <row r="26" spans="8:14" x14ac:dyDescent="0.25">
      <c r="H26">
        <v>7</v>
      </c>
      <c r="I26">
        <v>5</v>
      </c>
      <c r="J26">
        <f t="shared" si="0"/>
        <v>0.16499999999999998</v>
      </c>
      <c r="K26">
        <v>7</v>
      </c>
      <c r="L26">
        <f t="shared" si="1"/>
        <v>0.16499999999999998</v>
      </c>
      <c r="M26">
        <v>7</v>
      </c>
      <c r="N26">
        <v>0.61499999999999999</v>
      </c>
    </row>
    <row r="27" spans="8:14" x14ac:dyDescent="0.25">
      <c r="H27">
        <v>8</v>
      </c>
      <c r="I27">
        <v>9</v>
      </c>
      <c r="J27">
        <f t="shared" si="0"/>
        <v>0.10999999999999999</v>
      </c>
      <c r="K27">
        <v>3</v>
      </c>
      <c r="L27">
        <f t="shared" si="1"/>
        <v>0.10999999999999999</v>
      </c>
      <c r="M27">
        <v>8</v>
      </c>
      <c r="N27">
        <v>0.85</v>
      </c>
    </row>
    <row r="28" spans="8:14" x14ac:dyDescent="0.25">
      <c r="H28">
        <v>9</v>
      </c>
      <c r="I28">
        <v>3</v>
      </c>
      <c r="J28">
        <f t="shared" si="0"/>
        <v>5.4999999999999993E-2</v>
      </c>
      <c r="K28">
        <v>9</v>
      </c>
      <c r="L28">
        <f t="shared" si="1"/>
        <v>5.4999999999999993E-2</v>
      </c>
      <c r="M28">
        <v>9</v>
      </c>
      <c r="N28">
        <v>0.20499999999999993</v>
      </c>
    </row>
    <row r="29" spans="8:14" x14ac:dyDescent="0.25">
      <c r="H29">
        <v>10</v>
      </c>
      <c r="I29">
        <v>6</v>
      </c>
      <c r="J29" s="9">
        <f t="shared" si="0"/>
        <v>0</v>
      </c>
      <c r="K29">
        <v>6</v>
      </c>
      <c r="L29">
        <f t="shared" si="1"/>
        <v>0</v>
      </c>
      <c r="M29">
        <v>10</v>
      </c>
      <c r="N29">
        <v>0.43999999999999989</v>
      </c>
    </row>
    <row r="31" spans="8:14" x14ac:dyDescent="0.25">
      <c r="I31" t="s">
        <v>180</v>
      </c>
      <c r="J31" t="s">
        <v>181</v>
      </c>
      <c r="K31" t="s">
        <v>182</v>
      </c>
    </row>
    <row r="32" spans="8:14" x14ac:dyDescent="0.25">
      <c r="I32">
        <v>5</v>
      </c>
      <c r="J32">
        <v>2</v>
      </c>
      <c r="K32">
        <v>1</v>
      </c>
    </row>
    <row r="33" spans="9:16" x14ac:dyDescent="0.25">
      <c r="I33">
        <v>2</v>
      </c>
      <c r="J33">
        <v>1</v>
      </c>
      <c r="K33">
        <v>8</v>
      </c>
    </row>
    <row r="34" spans="9:16" x14ac:dyDescent="0.25">
      <c r="I34">
        <v>4</v>
      </c>
      <c r="J34">
        <v>8</v>
      </c>
      <c r="K34">
        <v>2</v>
      </c>
    </row>
    <row r="35" spans="9:16" x14ac:dyDescent="0.25">
      <c r="I35">
        <v>8</v>
      </c>
      <c r="J35">
        <v>4</v>
      </c>
      <c r="K35">
        <v>7</v>
      </c>
    </row>
    <row r="36" spans="9:16" x14ac:dyDescent="0.25">
      <c r="I36">
        <v>1</v>
      </c>
      <c r="J36">
        <v>5</v>
      </c>
      <c r="K36">
        <v>4</v>
      </c>
    </row>
    <row r="37" spans="9:16" x14ac:dyDescent="0.25">
      <c r="I37">
        <v>10</v>
      </c>
      <c r="J37">
        <v>7</v>
      </c>
      <c r="K37">
        <v>10</v>
      </c>
      <c r="O37">
        <v>1</v>
      </c>
      <c r="P37">
        <v>0.92999999999999994</v>
      </c>
    </row>
    <row r="38" spans="9:16" x14ac:dyDescent="0.25">
      <c r="I38">
        <v>7</v>
      </c>
      <c r="J38">
        <v>10</v>
      </c>
      <c r="K38">
        <v>5</v>
      </c>
      <c r="O38">
        <v>2</v>
      </c>
      <c r="P38">
        <v>0.78499999999999992</v>
      </c>
    </row>
    <row r="39" spans="9:16" x14ac:dyDescent="0.25">
      <c r="I39">
        <v>3</v>
      </c>
      <c r="J39">
        <v>3</v>
      </c>
      <c r="K39">
        <v>9</v>
      </c>
      <c r="O39">
        <v>3</v>
      </c>
      <c r="P39">
        <v>0.12499999999999997</v>
      </c>
    </row>
    <row r="40" spans="9:16" x14ac:dyDescent="0.25">
      <c r="I40">
        <v>9</v>
      </c>
      <c r="J40">
        <v>9</v>
      </c>
      <c r="K40">
        <v>3</v>
      </c>
      <c r="O40">
        <v>4</v>
      </c>
      <c r="P40">
        <v>0.57999999999999996</v>
      </c>
    </row>
    <row r="41" spans="9:16" x14ac:dyDescent="0.25">
      <c r="I41">
        <v>6</v>
      </c>
      <c r="J41">
        <v>6</v>
      </c>
      <c r="K41">
        <v>6</v>
      </c>
      <c r="O41">
        <v>5</v>
      </c>
      <c r="P41">
        <v>0.41999999999999993</v>
      </c>
    </row>
    <row r="42" spans="9:16" x14ac:dyDescent="0.25">
      <c r="O42">
        <v>6</v>
      </c>
      <c r="P42">
        <v>0</v>
      </c>
    </row>
    <row r="43" spans="9:16" x14ac:dyDescent="0.25">
      <c r="O43">
        <v>7</v>
      </c>
      <c r="P43">
        <v>0.61499999999999999</v>
      </c>
    </row>
    <row r="44" spans="9:16" x14ac:dyDescent="0.25">
      <c r="O44">
        <v>8</v>
      </c>
      <c r="P44">
        <v>0.85</v>
      </c>
    </row>
    <row r="45" spans="9:16" x14ac:dyDescent="0.25">
      <c r="O45">
        <v>9</v>
      </c>
      <c r="P45">
        <v>0.20499999999999993</v>
      </c>
    </row>
    <row r="46" spans="9:16" x14ac:dyDescent="0.25">
      <c r="O46">
        <v>10</v>
      </c>
      <c r="P46">
        <v>0.43999999999999989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"/>
  <dimension ref="A1:E2"/>
  <sheetViews>
    <sheetView zoomScale="55" zoomScaleNormal="55" workbookViewId="0">
      <selection activeCell="E8" sqref="E8"/>
    </sheetView>
  </sheetViews>
  <sheetFormatPr defaultRowHeight="15" x14ac:dyDescent="0.25"/>
  <cols>
    <col min="1" max="1" width="9.28515625" style="62" customWidth="1"/>
    <col min="2" max="3" width="11" style="62" bestFit="1" customWidth="1"/>
    <col min="4" max="16384" width="9.140625" style="62"/>
  </cols>
  <sheetData>
    <row r="1" spans="1:5" x14ac:dyDescent="0.25">
      <c r="A1" s="62" t="s">
        <v>0</v>
      </c>
      <c r="B1" s="62" t="s">
        <v>1</v>
      </c>
      <c r="C1" s="62" t="s">
        <v>2</v>
      </c>
      <c r="D1" s="62" t="s">
        <v>3</v>
      </c>
      <c r="E1" s="62" t="s">
        <v>1</v>
      </c>
    </row>
    <row r="2" spans="1:5" x14ac:dyDescent="0.25">
      <c r="A2" s="62">
        <v>1</v>
      </c>
      <c r="B2" s="62">
        <v>2</v>
      </c>
      <c r="C2" s="62">
        <v>3</v>
      </c>
      <c r="D2" s="62">
        <v>4</v>
      </c>
      <c r="E2" s="62">
        <v>5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"/>
  <dimension ref="A1:AH164"/>
  <sheetViews>
    <sheetView topLeftCell="A106" workbookViewId="0">
      <selection activeCell="AI161" sqref="AI161"/>
    </sheetView>
  </sheetViews>
  <sheetFormatPr defaultRowHeight="15" x14ac:dyDescent="0.25"/>
  <cols>
    <col min="2" max="11" width="9.5703125" bestFit="1" customWidth="1"/>
    <col min="13" max="13" width="4.85546875" customWidth="1"/>
    <col min="14" max="14" width="12.28515625" bestFit="1" customWidth="1"/>
  </cols>
  <sheetData>
    <row r="1" spans="1:26" x14ac:dyDescent="0.25">
      <c r="A1" s="2"/>
      <c r="B1" s="3" t="s">
        <v>15</v>
      </c>
      <c r="C1" s="3" t="s">
        <v>16</v>
      </c>
      <c r="D1" s="3" t="s">
        <v>17</v>
      </c>
      <c r="E1" s="3" t="s">
        <v>18</v>
      </c>
      <c r="F1" s="3" t="s">
        <v>19</v>
      </c>
      <c r="G1" s="3" t="s">
        <v>20</v>
      </c>
      <c r="H1" s="3" t="s">
        <v>21</v>
      </c>
      <c r="I1" s="3" t="s">
        <v>22</v>
      </c>
      <c r="J1" s="3" t="s">
        <v>23</v>
      </c>
      <c r="K1" s="3" t="s">
        <v>24</v>
      </c>
    </row>
    <row r="2" spans="1:26" x14ac:dyDescent="0.25">
      <c r="A2" s="4" t="s">
        <v>15</v>
      </c>
      <c r="B2" s="5">
        <v>1</v>
      </c>
      <c r="C2" s="5">
        <f>12/17</f>
        <v>0.70588235294117652</v>
      </c>
      <c r="D2" s="5">
        <f>12/17</f>
        <v>0.70588235294117652</v>
      </c>
      <c r="E2" s="5">
        <f>14/19</f>
        <v>0.73684210526315785</v>
      </c>
      <c r="F2" s="5">
        <f>10/18</f>
        <v>0.55555555555555558</v>
      </c>
      <c r="G2" s="5">
        <f>12/18</f>
        <v>0.66666666666666663</v>
      </c>
      <c r="H2" s="5">
        <f>6/15</f>
        <v>0.4</v>
      </c>
      <c r="I2" s="5">
        <f>8/19</f>
        <v>0.42105263157894735</v>
      </c>
      <c r="J2" s="5">
        <f>10/15</f>
        <v>0.66666666666666663</v>
      </c>
      <c r="K2" s="5">
        <f>4/18</f>
        <v>0.22222222222222221</v>
      </c>
      <c r="M2" t="s">
        <v>15</v>
      </c>
      <c r="N2" t="s">
        <v>25</v>
      </c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x14ac:dyDescent="0.25">
      <c r="A3" s="4" t="s">
        <v>16</v>
      </c>
      <c r="B3" s="5">
        <v>0.70588235294117652</v>
      </c>
      <c r="C3" s="5">
        <v>1</v>
      </c>
      <c r="D3" s="5">
        <f>8/14</f>
        <v>0.5714285714285714</v>
      </c>
      <c r="E3" s="5">
        <f>12/16</f>
        <v>0.75</v>
      </c>
      <c r="F3" s="5">
        <f>8/15</f>
        <v>0.53333333333333333</v>
      </c>
      <c r="G3" s="5">
        <f>10/15</f>
        <v>0.66666666666666663</v>
      </c>
      <c r="H3" s="5">
        <f>4/12</f>
        <v>0.33333333333333331</v>
      </c>
      <c r="I3" s="5">
        <f>4/16</f>
        <v>0.25</v>
      </c>
      <c r="J3" s="5">
        <f>6/12</f>
        <v>0.5</v>
      </c>
      <c r="K3" s="5">
        <f>4/15</f>
        <v>0.26666666666666666</v>
      </c>
      <c r="M3" t="s">
        <v>16</v>
      </c>
      <c r="N3" t="s">
        <v>26</v>
      </c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" t="s">
        <v>17</v>
      </c>
      <c r="B4" s="5">
        <v>0.70588235294117652</v>
      </c>
      <c r="C4" s="5">
        <v>0.5714285714285714</v>
      </c>
      <c r="D4" s="5">
        <v>1</v>
      </c>
      <c r="E4" s="5">
        <f>10/16</f>
        <v>0.625</v>
      </c>
      <c r="F4" s="5">
        <f>8/15</f>
        <v>0.53333333333333333</v>
      </c>
      <c r="G4" s="5">
        <f>8/15</f>
        <v>0.53333333333333333</v>
      </c>
      <c r="H4" s="5">
        <f>2/12</f>
        <v>0.16666666666666666</v>
      </c>
      <c r="I4" s="5">
        <f>6/16</f>
        <v>0.375</v>
      </c>
      <c r="J4" s="5">
        <f>8/12</f>
        <v>0.66666666666666663</v>
      </c>
      <c r="K4" s="5">
        <f>6/15</f>
        <v>0.4</v>
      </c>
      <c r="M4" t="s">
        <v>17</v>
      </c>
      <c r="N4" t="s">
        <v>27</v>
      </c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25">
      <c r="A5" s="4" t="s">
        <v>18</v>
      </c>
      <c r="B5" s="5">
        <v>0.73684210526315785</v>
      </c>
      <c r="C5" s="5">
        <v>0.75</v>
      </c>
      <c r="D5" s="5">
        <v>0.625</v>
      </c>
      <c r="E5" s="5">
        <v>1</v>
      </c>
      <c r="F5" s="5">
        <f>14/17</f>
        <v>0.82352941176470584</v>
      </c>
      <c r="G5" s="5">
        <f>12/17</f>
        <v>0.70588235294117652</v>
      </c>
      <c r="H5" s="5">
        <f>2/14</f>
        <v>0.14285714285714285</v>
      </c>
      <c r="I5" s="5">
        <f>6/18</f>
        <v>0.33333333333333331</v>
      </c>
      <c r="J5" s="5">
        <f>8/14</f>
        <v>0.5714285714285714</v>
      </c>
      <c r="K5" s="5">
        <f>6/17</f>
        <v>0.35294117647058826</v>
      </c>
      <c r="M5" t="s">
        <v>18</v>
      </c>
      <c r="N5" t="s">
        <v>28</v>
      </c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25">
      <c r="A6" s="4" t="s">
        <v>19</v>
      </c>
      <c r="B6" s="5">
        <v>0.55555555555555558</v>
      </c>
      <c r="C6" s="5">
        <v>0.53333333333333333</v>
      </c>
      <c r="D6" s="5">
        <v>0.53333333333333333</v>
      </c>
      <c r="E6" s="5">
        <v>0.82352941176470584</v>
      </c>
      <c r="F6" s="5">
        <v>1</v>
      </c>
      <c r="G6" s="5">
        <f>8/16</f>
        <v>0.5</v>
      </c>
      <c r="H6" s="5">
        <f>2/13</f>
        <v>0.15384615384615385</v>
      </c>
      <c r="I6" s="5">
        <f>6/17</f>
        <v>0.35294117647058826</v>
      </c>
      <c r="J6" s="5">
        <f>6/13</f>
        <v>0.46153846153846156</v>
      </c>
      <c r="K6" s="5">
        <f>4/16</f>
        <v>0.25</v>
      </c>
      <c r="M6" t="s">
        <v>19</v>
      </c>
      <c r="N6" t="s">
        <v>29</v>
      </c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25">
      <c r="A7" s="4" t="s">
        <v>20</v>
      </c>
      <c r="B7" s="5">
        <v>0.66666666666666663</v>
      </c>
      <c r="C7" s="5">
        <v>0.66666666666666663</v>
      </c>
      <c r="D7" s="5">
        <v>0.53333333333333333</v>
      </c>
      <c r="E7" s="5">
        <v>0.70588235294117652</v>
      </c>
      <c r="F7" s="5">
        <v>0.5</v>
      </c>
      <c r="G7" s="5">
        <v>1</v>
      </c>
      <c r="H7" s="5">
        <f>2/13</f>
        <v>0.15384615384615385</v>
      </c>
      <c r="I7" s="5">
        <f>6/17</f>
        <v>0.35294117647058826</v>
      </c>
      <c r="J7" s="5">
        <f>4/13</f>
        <v>0.30769230769230771</v>
      </c>
      <c r="K7" s="5">
        <f>6/16</f>
        <v>0.375</v>
      </c>
      <c r="M7" t="s">
        <v>20</v>
      </c>
      <c r="N7" t="s">
        <v>30</v>
      </c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25">
      <c r="A8" s="4" t="s">
        <v>21</v>
      </c>
      <c r="B8" s="5">
        <v>0.4</v>
      </c>
      <c r="C8" s="5">
        <v>0.33333333333333331</v>
      </c>
      <c r="D8" s="5">
        <v>0.16666666666666666</v>
      </c>
      <c r="E8" s="5">
        <v>0.14285714285714285</v>
      </c>
      <c r="F8" s="5">
        <v>0.15384615384615385</v>
      </c>
      <c r="G8" s="5">
        <v>0.15384615384615385</v>
      </c>
      <c r="H8" s="5">
        <v>1</v>
      </c>
      <c r="I8" s="5">
        <f>4/14</f>
        <v>0.2857142857142857</v>
      </c>
      <c r="J8" s="5">
        <f>4/10</f>
        <v>0.4</v>
      </c>
      <c r="K8" s="5">
        <f>4/13</f>
        <v>0.30769230769230771</v>
      </c>
      <c r="M8" t="s">
        <v>21</v>
      </c>
      <c r="N8" t="s">
        <v>31</v>
      </c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25">
      <c r="A9" s="4" t="s">
        <v>22</v>
      </c>
      <c r="B9" s="5">
        <v>0.42105263157894735</v>
      </c>
      <c r="C9" s="5">
        <v>0.25</v>
      </c>
      <c r="D9" s="5">
        <v>0.375</v>
      </c>
      <c r="E9" s="5">
        <v>0.33333333333333331</v>
      </c>
      <c r="F9" s="5">
        <v>0.35294117647058826</v>
      </c>
      <c r="G9" s="5">
        <v>0.35294117647058826</v>
      </c>
      <c r="H9" s="5">
        <v>0.2857142857142857</v>
      </c>
      <c r="I9" s="5">
        <v>1</v>
      </c>
      <c r="J9" s="5">
        <f>6/14</f>
        <v>0.42857142857142855</v>
      </c>
      <c r="K9" s="5">
        <f>6/17</f>
        <v>0.35294117647058826</v>
      </c>
      <c r="M9" t="s">
        <v>22</v>
      </c>
      <c r="N9" t="s">
        <v>32</v>
      </c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25">
      <c r="A10" s="4" t="s">
        <v>23</v>
      </c>
      <c r="B10" s="5">
        <v>0.66666666666666663</v>
      </c>
      <c r="C10" s="5">
        <v>0.5</v>
      </c>
      <c r="D10" s="5">
        <v>0.66666666666666663</v>
      </c>
      <c r="E10" s="5">
        <v>0.5714285714285714</v>
      </c>
      <c r="F10" s="5">
        <v>0.46153846153846156</v>
      </c>
      <c r="G10" s="5">
        <v>0.30769230769230771</v>
      </c>
      <c r="H10" s="5">
        <v>0.4</v>
      </c>
      <c r="I10" s="5">
        <v>0.42857142857142855</v>
      </c>
      <c r="J10" s="5">
        <v>1</v>
      </c>
      <c r="K10" s="5">
        <f>4/13</f>
        <v>0.30769230769230771</v>
      </c>
      <c r="M10" t="s">
        <v>23</v>
      </c>
      <c r="N10" t="s">
        <v>33</v>
      </c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25">
      <c r="A11" s="4" t="s">
        <v>24</v>
      </c>
      <c r="B11" s="5">
        <v>0.22222222222222221</v>
      </c>
      <c r="C11" s="5">
        <v>0.26666666666666666</v>
      </c>
      <c r="D11" s="5">
        <v>0.4</v>
      </c>
      <c r="E11" s="5">
        <v>0.35294117647058826</v>
      </c>
      <c r="F11" s="5">
        <v>0.25</v>
      </c>
      <c r="G11" s="5">
        <v>0.375</v>
      </c>
      <c r="H11" s="5">
        <v>0.30769230769230771</v>
      </c>
      <c r="I11" s="5">
        <v>0.35294117647058826</v>
      </c>
      <c r="J11" s="5">
        <v>0.30769230769230771</v>
      </c>
      <c r="K11" s="5">
        <v>1</v>
      </c>
      <c r="M11" t="s">
        <v>24</v>
      </c>
      <c r="N11" t="s">
        <v>34</v>
      </c>
      <c r="Q11" s="6"/>
      <c r="R11" s="6"/>
      <c r="S11" s="6"/>
      <c r="T11" s="6"/>
      <c r="U11" s="6"/>
      <c r="V11" s="6"/>
      <c r="W11" s="6"/>
      <c r="X11" s="6"/>
      <c r="Y11" s="6"/>
      <c r="Z11" s="6"/>
    </row>
    <row r="13" spans="1:26" x14ac:dyDescent="0.25">
      <c r="A13" s="7" t="s">
        <v>35</v>
      </c>
      <c r="B13" s="8">
        <f>MAX(C2:K2,D3:K3,E4:K4,F5:K5,G6:J6,G6:K6,H7:K7,I8:K8,J9:K9,K10)</f>
        <v>0.82352941176470584</v>
      </c>
    </row>
    <row r="14" spans="1:26" x14ac:dyDescent="0.25">
      <c r="B14" s="9"/>
    </row>
    <row r="15" spans="1:26" x14ac:dyDescent="0.25">
      <c r="A15" t="s">
        <v>36</v>
      </c>
    </row>
    <row r="16" spans="1:26" x14ac:dyDescent="0.25">
      <c r="B16" t="s">
        <v>37</v>
      </c>
      <c r="C16" t="s">
        <v>38</v>
      </c>
      <c r="D16" t="s">
        <v>38</v>
      </c>
      <c r="E16" t="s">
        <v>39</v>
      </c>
    </row>
    <row r="17" spans="1:5" x14ac:dyDescent="0.25">
      <c r="A17" t="s">
        <v>40</v>
      </c>
      <c r="B17" t="s">
        <v>41</v>
      </c>
      <c r="C17" t="s">
        <v>42</v>
      </c>
      <c r="D17" t="s">
        <v>43</v>
      </c>
      <c r="E17" t="s">
        <v>44</v>
      </c>
    </row>
    <row r="18" spans="1:5" x14ac:dyDescent="0.25">
      <c r="A18">
        <v>9</v>
      </c>
      <c r="B18">
        <v>1</v>
      </c>
      <c r="C18">
        <v>1.4316279999999999</v>
      </c>
      <c r="D18" t="s">
        <v>45</v>
      </c>
      <c r="E18" t="s">
        <v>46</v>
      </c>
    </row>
    <row r="19" spans="1:5" x14ac:dyDescent="0.25">
      <c r="A19">
        <v>8</v>
      </c>
      <c r="B19">
        <v>2</v>
      </c>
      <c r="C19">
        <v>1.425824</v>
      </c>
      <c r="D19" t="s">
        <v>45</v>
      </c>
      <c r="E19" t="s">
        <v>47</v>
      </c>
    </row>
    <row r="20" spans="1:5" x14ac:dyDescent="0.25">
      <c r="A20">
        <v>7</v>
      </c>
      <c r="B20">
        <v>3</v>
      </c>
      <c r="C20">
        <v>1.3873139999999999</v>
      </c>
      <c r="D20" t="s">
        <v>48</v>
      </c>
      <c r="E20" t="s">
        <v>49</v>
      </c>
    </row>
    <row r="21" spans="1:5" x14ac:dyDescent="0.25">
      <c r="A21">
        <v>6</v>
      </c>
      <c r="B21">
        <v>4</v>
      </c>
      <c r="C21">
        <v>0.82344700000000004</v>
      </c>
      <c r="D21" t="s">
        <v>50</v>
      </c>
      <c r="E21" t="s">
        <v>51</v>
      </c>
    </row>
    <row r="22" spans="1:5" x14ac:dyDescent="0.25">
      <c r="A22">
        <v>5</v>
      </c>
      <c r="B22">
        <v>5</v>
      </c>
      <c r="C22">
        <v>0.76211200000000001</v>
      </c>
      <c r="D22" t="s">
        <v>52</v>
      </c>
      <c r="E22" t="s">
        <v>53</v>
      </c>
    </row>
    <row r="23" spans="1:5" x14ac:dyDescent="0.25">
      <c r="A23">
        <v>4</v>
      </c>
      <c r="B23">
        <v>6</v>
      </c>
      <c r="C23">
        <v>0.75172099999999997</v>
      </c>
      <c r="D23" t="s">
        <v>52</v>
      </c>
      <c r="E23" t="s">
        <v>54</v>
      </c>
    </row>
    <row r="24" spans="1:5" x14ac:dyDescent="0.25">
      <c r="A24">
        <v>3</v>
      </c>
      <c r="B24">
        <v>7</v>
      </c>
      <c r="C24">
        <v>0.71448100000000003</v>
      </c>
      <c r="D24" t="s">
        <v>55</v>
      </c>
      <c r="E24" t="s">
        <v>56</v>
      </c>
    </row>
    <row r="25" spans="1:5" x14ac:dyDescent="0.25">
      <c r="A25">
        <v>2</v>
      </c>
      <c r="B25">
        <v>8</v>
      </c>
      <c r="C25">
        <v>0.66407700000000003</v>
      </c>
      <c r="D25" t="s">
        <v>57</v>
      </c>
      <c r="E25" t="s">
        <v>58</v>
      </c>
    </row>
    <row r="26" spans="1:5" x14ac:dyDescent="0.25">
      <c r="A26">
        <v>1</v>
      </c>
      <c r="B26">
        <v>9</v>
      </c>
      <c r="C26">
        <v>0.62892099999999995</v>
      </c>
      <c r="D26" t="s">
        <v>59</v>
      </c>
      <c r="E26" t="s">
        <v>60</v>
      </c>
    </row>
    <row r="28" spans="1:5" x14ac:dyDescent="0.25">
      <c r="A28" t="s">
        <v>61</v>
      </c>
      <c r="B28">
        <v>0.90900999999999998</v>
      </c>
    </row>
    <row r="29" spans="1:5" x14ac:dyDescent="0.25">
      <c r="A29" t="s">
        <v>62</v>
      </c>
      <c r="B29">
        <v>0.210536</v>
      </c>
    </row>
    <row r="30" spans="1:5" x14ac:dyDescent="0.25">
      <c r="A30" t="s">
        <v>63</v>
      </c>
      <c r="B30">
        <v>0.25755</v>
      </c>
    </row>
    <row r="33" spans="1:14" x14ac:dyDescent="0.25">
      <c r="A33" s="2"/>
      <c r="B33" s="3" t="s">
        <v>15</v>
      </c>
      <c r="C33" s="3" t="s">
        <v>16</v>
      </c>
      <c r="D33" s="3" t="s">
        <v>17</v>
      </c>
      <c r="E33" s="3" t="s">
        <v>18</v>
      </c>
      <c r="F33" s="3" t="s">
        <v>19</v>
      </c>
      <c r="G33" s="3" t="s">
        <v>20</v>
      </c>
      <c r="H33" s="3" t="s">
        <v>21</v>
      </c>
      <c r="I33" s="3" t="s">
        <v>22</v>
      </c>
      <c r="J33" s="3" t="s">
        <v>23</v>
      </c>
      <c r="K33" s="3" t="s">
        <v>24</v>
      </c>
      <c r="M33" t="s">
        <v>15</v>
      </c>
      <c r="N33" s="10" t="s">
        <v>64</v>
      </c>
    </row>
    <row r="34" spans="1:14" x14ac:dyDescent="0.25">
      <c r="A34" s="4" t="s">
        <v>15</v>
      </c>
      <c r="B34" s="5">
        <v>1</v>
      </c>
      <c r="C34" s="5">
        <f>4/17</f>
        <v>0.23529411764705882</v>
      </c>
      <c r="D34" s="5">
        <f>8/17</f>
        <v>0.47058823529411764</v>
      </c>
      <c r="E34" s="5">
        <f>6/17</f>
        <v>0.35294117647058826</v>
      </c>
      <c r="F34" s="5">
        <f>4/16</f>
        <v>0.25</v>
      </c>
      <c r="G34" s="5">
        <f>6/16</f>
        <v>0.375</v>
      </c>
      <c r="H34" s="5">
        <f>4/15</f>
        <v>0.26666666666666666</v>
      </c>
      <c r="I34" s="5">
        <f>8/15</f>
        <v>0.53333333333333333</v>
      </c>
      <c r="J34" s="5">
        <f>6/17</f>
        <v>0.35294117647058826</v>
      </c>
      <c r="K34" s="5">
        <f>6/17</f>
        <v>0.35294117647058826</v>
      </c>
      <c r="M34" t="s">
        <v>16</v>
      </c>
      <c r="N34" s="11" t="s">
        <v>65</v>
      </c>
    </row>
    <row r="35" spans="1:14" x14ac:dyDescent="0.25">
      <c r="A35" s="4" t="s">
        <v>16</v>
      </c>
      <c r="B35" s="5">
        <v>0.23529411764705882</v>
      </c>
      <c r="C35" s="5">
        <v>1</v>
      </c>
      <c r="D35" s="5">
        <f>8/17</f>
        <v>0.47058823529411764</v>
      </c>
      <c r="E35" s="5">
        <f>6/17</f>
        <v>0.35294117647058826</v>
      </c>
      <c r="F35" s="5">
        <f>4/16</f>
        <v>0.25</v>
      </c>
      <c r="G35" s="5">
        <f>6/16</f>
        <v>0.375</v>
      </c>
      <c r="H35" s="5">
        <f>4/15</f>
        <v>0.26666666666666666</v>
      </c>
      <c r="I35" s="5">
        <f>8/15</f>
        <v>0.53333333333333333</v>
      </c>
      <c r="J35" s="5">
        <f>6/17</f>
        <v>0.35294117647058826</v>
      </c>
      <c r="K35" s="5">
        <f>6/17</f>
        <v>0.35294117647058826</v>
      </c>
      <c r="M35" t="s">
        <v>17</v>
      </c>
      <c r="N35" s="11" t="s">
        <v>66</v>
      </c>
    </row>
    <row r="36" spans="1:14" x14ac:dyDescent="0.25">
      <c r="A36" s="4" t="s">
        <v>17</v>
      </c>
      <c r="B36" s="5">
        <v>0.47058823529411764</v>
      </c>
      <c r="C36" s="5">
        <v>0.47058823529411764</v>
      </c>
      <c r="D36" s="5">
        <v>1</v>
      </c>
      <c r="E36" s="5">
        <f>10/18</f>
        <v>0.55555555555555558</v>
      </c>
      <c r="F36" s="5">
        <f>4/17</f>
        <v>0.23529411764705882</v>
      </c>
      <c r="G36" s="5">
        <f>6/17</f>
        <v>0.35294117647058826</v>
      </c>
      <c r="H36" s="5">
        <f>4/16</f>
        <v>0.25</v>
      </c>
      <c r="I36" s="5">
        <f>4/16</f>
        <v>0.25</v>
      </c>
      <c r="J36" s="5">
        <f>6/18</f>
        <v>0.33333333333333331</v>
      </c>
      <c r="K36" s="5">
        <f>4/18</f>
        <v>0.22222222222222221</v>
      </c>
      <c r="M36" t="s">
        <v>18</v>
      </c>
      <c r="N36" s="11" t="s">
        <v>67</v>
      </c>
    </row>
    <row r="37" spans="1:14" x14ac:dyDescent="0.25">
      <c r="A37" s="4" t="s">
        <v>18</v>
      </c>
      <c r="B37" s="5">
        <v>0.35294117647058826</v>
      </c>
      <c r="C37" s="5">
        <v>0.35294117647058826</v>
      </c>
      <c r="D37" s="5">
        <v>0.55555555555555558</v>
      </c>
      <c r="E37" s="5">
        <v>1</v>
      </c>
      <c r="F37" s="5">
        <f>6/17</f>
        <v>0.35294117647058826</v>
      </c>
      <c r="G37" s="5">
        <f>4/17</f>
        <v>0.23529411764705882</v>
      </c>
      <c r="H37" s="5">
        <f>4/16</f>
        <v>0.25</v>
      </c>
      <c r="I37" s="5">
        <f>6/16</f>
        <v>0.375</v>
      </c>
      <c r="J37" s="5">
        <f>6/18</f>
        <v>0.33333333333333331</v>
      </c>
      <c r="K37" s="5">
        <f>6/18</f>
        <v>0.33333333333333331</v>
      </c>
      <c r="M37" t="s">
        <v>19</v>
      </c>
      <c r="N37" s="11" t="s">
        <v>68</v>
      </c>
    </row>
    <row r="38" spans="1:14" x14ac:dyDescent="0.25">
      <c r="A38" s="4" t="s">
        <v>19</v>
      </c>
      <c r="B38" s="5">
        <v>0.25</v>
      </c>
      <c r="C38" s="5">
        <v>0.25</v>
      </c>
      <c r="D38" s="5">
        <v>0.23529411764705882</v>
      </c>
      <c r="E38" s="5">
        <v>0.35294117647058826</v>
      </c>
      <c r="F38" s="5">
        <v>1</v>
      </c>
      <c r="G38" s="5">
        <f>2/16</f>
        <v>0.125</v>
      </c>
      <c r="H38" s="5">
        <f>4/15</f>
        <v>0.26666666666666666</v>
      </c>
      <c r="I38" s="5">
        <f>4/15</f>
        <v>0.26666666666666666</v>
      </c>
      <c r="J38" s="5">
        <f>6/17</f>
        <v>0.35294117647058826</v>
      </c>
      <c r="K38" s="5">
        <f>6/17</f>
        <v>0.35294117647058826</v>
      </c>
      <c r="M38" t="s">
        <v>20</v>
      </c>
      <c r="N38" s="11" t="s">
        <v>69</v>
      </c>
    </row>
    <row r="39" spans="1:14" x14ac:dyDescent="0.25">
      <c r="A39" s="4" t="s">
        <v>20</v>
      </c>
      <c r="B39" s="5">
        <v>0.375</v>
      </c>
      <c r="C39" s="5">
        <v>0.375</v>
      </c>
      <c r="D39" s="5">
        <v>0.35294117647058826</v>
      </c>
      <c r="E39" s="5">
        <v>0.23529411764705882</v>
      </c>
      <c r="F39" s="5">
        <v>0.125</v>
      </c>
      <c r="G39" s="5">
        <v>1</v>
      </c>
      <c r="H39" s="5">
        <f>12/15</f>
        <v>0.8</v>
      </c>
      <c r="I39" s="5">
        <f>6/15</f>
        <v>0.4</v>
      </c>
      <c r="J39" s="5">
        <f>2/17</f>
        <v>0.11764705882352941</v>
      </c>
      <c r="K39" s="5">
        <f>6/17</f>
        <v>0.35294117647058826</v>
      </c>
      <c r="M39" t="s">
        <v>21</v>
      </c>
      <c r="N39" s="11" t="s">
        <v>70</v>
      </c>
    </row>
    <row r="40" spans="1:14" x14ac:dyDescent="0.25">
      <c r="A40" s="4" t="s">
        <v>21</v>
      </c>
      <c r="B40" s="5">
        <v>0.26666666666666666</v>
      </c>
      <c r="C40" s="5">
        <v>0.26666666666666666</v>
      </c>
      <c r="D40" s="5">
        <v>0.25</v>
      </c>
      <c r="E40" s="5">
        <v>0.25</v>
      </c>
      <c r="F40" s="5">
        <v>0.26666666666666666</v>
      </c>
      <c r="G40" s="5">
        <v>0.8</v>
      </c>
      <c r="H40" s="5">
        <v>1</v>
      </c>
      <c r="I40" s="5">
        <f>6/14</f>
        <v>0.42857142857142855</v>
      </c>
      <c r="J40" s="5">
        <f>4/16</f>
        <v>0.25</v>
      </c>
      <c r="K40" s="5">
        <f>6/16</f>
        <v>0.375</v>
      </c>
      <c r="M40" t="s">
        <v>22</v>
      </c>
      <c r="N40" s="11" t="s">
        <v>71</v>
      </c>
    </row>
    <row r="41" spans="1:14" x14ac:dyDescent="0.25">
      <c r="A41" s="4" t="s">
        <v>22</v>
      </c>
      <c r="B41" s="5">
        <v>0.53333333333333333</v>
      </c>
      <c r="C41" s="5">
        <v>0.53333333333333333</v>
      </c>
      <c r="D41" s="5">
        <v>0.25</v>
      </c>
      <c r="E41" s="5">
        <v>0.375</v>
      </c>
      <c r="F41" s="5">
        <v>0.26666666666666666</v>
      </c>
      <c r="G41" s="5">
        <v>0.4</v>
      </c>
      <c r="H41" s="5">
        <v>0.42857142857142855</v>
      </c>
      <c r="I41" s="5">
        <v>1</v>
      </c>
      <c r="J41" s="5">
        <f>6/16</f>
        <v>0.375</v>
      </c>
      <c r="K41" s="5">
        <f>6/16</f>
        <v>0.375</v>
      </c>
      <c r="M41" t="s">
        <v>23</v>
      </c>
      <c r="N41" s="11" t="s">
        <v>72</v>
      </c>
    </row>
    <row r="42" spans="1:14" x14ac:dyDescent="0.25">
      <c r="A42" s="4" t="s">
        <v>23</v>
      </c>
      <c r="B42" s="5">
        <v>0.35294117647058826</v>
      </c>
      <c r="C42" s="5">
        <v>0.35294117647058826</v>
      </c>
      <c r="D42" s="5">
        <v>0.33333333333333331</v>
      </c>
      <c r="E42" s="5">
        <v>0.33333333333333331</v>
      </c>
      <c r="F42" s="5">
        <v>0.35294117647058826</v>
      </c>
      <c r="G42" s="5">
        <v>0.11764705882352941</v>
      </c>
      <c r="H42" s="5">
        <v>0.25</v>
      </c>
      <c r="I42" s="5">
        <v>0.375</v>
      </c>
      <c r="J42" s="5">
        <v>1</v>
      </c>
      <c r="K42" s="5">
        <f>6/16</f>
        <v>0.375</v>
      </c>
      <c r="M42" t="s">
        <v>24</v>
      </c>
      <c r="N42" s="11" t="s">
        <v>73</v>
      </c>
    </row>
    <row r="43" spans="1:14" x14ac:dyDescent="0.25">
      <c r="A43" s="4" t="s">
        <v>24</v>
      </c>
      <c r="B43" s="5">
        <v>0.35294117647058826</v>
      </c>
      <c r="C43" s="5">
        <v>0.35294117647058826</v>
      </c>
      <c r="D43" s="5">
        <v>0.22222222222222221</v>
      </c>
      <c r="E43" s="5">
        <v>0.33333333333333331</v>
      </c>
      <c r="F43" s="5">
        <v>0.35294117647058826</v>
      </c>
      <c r="G43" s="5">
        <v>0.35294117647058826</v>
      </c>
      <c r="H43" s="5">
        <v>0.375</v>
      </c>
      <c r="I43" s="5">
        <v>0.375</v>
      </c>
      <c r="J43" s="5">
        <v>0.375</v>
      </c>
      <c r="K43" s="5">
        <v>1</v>
      </c>
    </row>
    <row r="46" spans="1:14" x14ac:dyDescent="0.25">
      <c r="B46" s="6"/>
      <c r="C46" s="6"/>
      <c r="D46" s="6"/>
      <c r="E46" s="6"/>
      <c r="F46" s="6"/>
      <c r="G46" s="6"/>
      <c r="H46" s="6"/>
      <c r="I46" s="6"/>
      <c r="J46" s="6"/>
      <c r="K46" s="6"/>
    </row>
    <row r="47" spans="1:14" x14ac:dyDescent="0.25">
      <c r="A47" t="s">
        <v>36</v>
      </c>
      <c r="B47" s="6"/>
      <c r="C47" s="6"/>
      <c r="D47" s="6"/>
      <c r="E47" s="6"/>
      <c r="F47" s="6"/>
      <c r="G47" s="6"/>
      <c r="H47" s="6"/>
      <c r="I47" s="6"/>
      <c r="J47" s="6"/>
      <c r="K47" s="6"/>
    </row>
    <row r="48" spans="1:14" x14ac:dyDescent="0.25">
      <c r="B48" s="6" t="s">
        <v>37</v>
      </c>
      <c r="C48" s="6" t="s">
        <v>38</v>
      </c>
      <c r="D48" s="6" t="s">
        <v>38</v>
      </c>
      <c r="E48" s="6" t="s">
        <v>39</v>
      </c>
      <c r="F48" s="6"/>
      <c r="G48" s="6"/>
      <c r="H48" s="6"/>
      <c r="I48" s="6"/>
      <c r="J48" s="6"/>
      <c r="K48" s="6"/>
    </row>
    <row r="49" spans="1:11" x14ac:dyDescent="0.25">
      <c r="A49" t="s">
        <v>40</v>
      </c>
      <c r="B49" s="6" t="s">
        <v>41</v>
      </c>
      <c r="C49" s="6" t="s">
        <v>42</v>
      </c>
      <c r="D49" s="6" t="s">
        <v>43</v>
      </c>
      <c r="E49" s="6" t="s">
        <v>44</v>
      </c>
      <c r="F49" s="6"/>
      <c r="G49" s="6"/>
      <c r="H49" s="6"/>
      <c r="I49" s="6"/>
      <c r="J49" s="6"/>
      <c r="K49" s="6"/>
    </row>
    <row r="50" spans="1:11" x14ac:dyDescent="0.25">
      <c r="A50">
        <v>9</v>
      </c>
      <c r="B50" s="6">
        <v>1</v>
      </c>
      <c r="C50" s="6">
        <v>1.3194049999999999</v>
      </c>
      <c r="D50" s="6" t="s">
        <v>45</v>
      </c>
      <c r="E50" s="6" t="s">
        <v>74</v>
      </c>
      <c r="F50" s="6"/>
      <c r="G50" s="6"/>
      <c r="H50" s="6"/>
      <c r="I50" s="6"/>
      <c r="J50" s="6"/>
      <c r="K50" s="6"/>
    </row>
    <row r="51" spans="1:11" x14ac:dyDescent="0.25">
      <c r="A51">
        <v>8</v>
      </c>
      <c r="B51" s="6">
        <v>2</v>
      </c>
      <c r="C51" s="6">
        <v>1.312376</v>
      </c>
      <c r="D51" s="6" t="s">
        <v>45</v>
      </c>
      <c r="E51" s="6" t="s">
        <v>75</v>
      </c>
      <c r="F51" s="6"/>
      <c r="G51" s="6"/>
      <c r="H51" s="6"/>
      <c r="I51" s="6"/>
      <c r="J51" s="6"/>
      <c r="K51" s="6"/>
    </row>
    <row r="52" spans="1:11" x14ac:dyDescent="0.25">
      <c r="A52">
        <v>7</v>
      </c>
      <c r="B52" s="6">
        <v>3</v>
      </c>
      <c r="C52" s="6">
        <v>1.299307</v>
      </c>
      <c r="D52" s="6" t="s">
        <v>45</v>
      </c>
      <c r="E52" s="6" t="s">
        <v>76</v>
      </c>
      <c r="F52" s="6"/>
      <c r="G52" s="6"/>
      <c r="H52" s="6"/>
      <c r="I52" s="6"/>
      <c r="J52" s="6"/>
      <c r="K52" s="6"/>
    </row>
    <row r="53" spans="1:11" x14ac:dyDescent="0.25">
      <c r="A53">
        <v>6</v>
      </c>
      <c r="B53" s="6">
        <v>4</v>
      </c>
      <c r="C53" s="6">
        <v>1.272902</v>
      </c>
      <c r="D53" s="6" t="s">
        <v>48</v>
      </c>
      <c r="E53" s="6" t="s">
        <v>77</v>
      </c>
      <c r="F53" s="6"/>
      <c r="G53" s="6"/>
      <c r="H53" s="6"/>
      <c r="I53" s="6"/>
      <c r="J53" s="6"/>
      <c r="K53" s="6"/>
    </row>
    <row r="54" spans="1:11" x14ac:dyDescent="0.25">
      <c r="A54">
        <v>5</v>
      </c>
      <c r="B54" s="6">
        <v>5</v>
      </c>
      <c r="C54" s="6">
        <v>1.2125280000000001</v>
      </c>
      <c r="D54" s="6" t="s">
        <v>78</v>
      </c>
      <c r="E54" s="6" t="s">
        <v>79</v>
      </c>
      <c r="F54" s="6"/>
      <c r="G54" s="6"/>
      <c r="H54" s="6"/>
      <c r="I54" s="6"/>
      <c r="J54" s="6"/>
      <c r="K54" s="6"/>
    </row>
    <row r="55" spans="1:11" x14ac:dyDescent="0.25">
      <c r="A55">
        <v>4</v>
      </c>
      <c r="B55" s="6">
        <v>6</v>
      </c>
      <c r="C55" s="6">
        <v>1.1084689999999999</v>
      </c>
      <c r="D55" s="6" t="s">
        <v>80</v>
      </c>
      <c r="E55" s="6" t="s">
        <v>81</v>
      </c>
      <c r="F55" s="6"/>
      <c r="G55" s="6"/>
      <c r="H55" s="6"/>
      <c r="I55" s="6"/>
      <c r="J55" s="6"/>
      <c r="K55" s="6"/>
    </row>
    <row r="56" spans="1:11" x14ac:dyDescent="0.25">
      <c r="A56">
        <v>3</v>
      </c>
      <c r="B56">
        <v>7</v>
      </c>
      <c r="C56">
        <v>1.1084689999999999</v>
      </c>
      <c r="D56" t="s">
        <v>80</v>
      </c>
      <c r="E56" t="s">
        <v>82</v>
      </c>
    </row>
    <row r="57" spans="1:11" x14ac:dyDescent="0.25">
      <c r="A57">
        <v>2</v>
      </c>
      <c r="B57">
        <v>8</v>
      </c>
      <c r="C57">
        <v>0.94440299999999999</v>
      </c>
      <c r="D57" t="s">
        <v>83</v>
      </c>
      <c r="E57" t="s">
        <v>84</v>
      </c>
    </row>
    <row r="58" spans="1:11" x14ac:dyDescent="0.25">
      <c r="A58">
        <v>1</v>
      </c>
      <c r="B58">
        <v>9</v>
      </c>
      <c r="C58">
        <v>0.49437999999999999</v>
      </c>
      <c r="D58" t="s">
        <v>85</v>
      </c>
      <c r="E58" t="s">
        <v>86</v>
      </c>
    </row>
    <row r="60" spans="1:11" x14ac:dyDescent="0.25">
      <c r="A60" t="s">
        <v>61</v>
      </c>
      <c r="B60">
        <v>0.80394299999999996</v>
      </c>
    </row>
    <row r="61" spans="1:11" x14ac:dyDescent="0.25">
      <c r="A61" t="s">
        <v>62</v>
      </c>
      <c r="B61">
        <v>0.109357</v>
      </c>
    </row>
    <row r="62" spans="1:11" x14ac:dyDescent="0.25">
      <c r="A62" t="s">
        <v>63</v>
      </c>
      <c r="B62">
        <v>0.14768899999999999</v>
      </c>
    </row>
    <row r="66" spans="1:14" x14ac:dyDescent="0.25">
      <c r="A66" s="2"/>
      <c r="B66" s="3" t="s">
        <v>15</v>
      </c>
      <c r="C66" s="3" t="s">
        <v>16</v>
      </c>
      <c r="D66" s="3" t="s">
        <v>17</v>
      </c>
      <c r="E66" s="3" t="s">
        <v>18</v>
      </c>
      <c r="F66" s="3" t="s">
        <v>19</v>
      </c>
      <c r="G66" s="3" t="s">
        <v>20</v>
      </c>
      <c r="H66" s="3" t="s">
        <v>21</v>
      </c>
      <c r="I66" s="3" t="s">
        <v>22</v>
      </c>
      <c r="J66" s="3" t="s">
        <v>23</v>
      </c>
      <c r="K66" s="3" t="s">
        <v>24</v>
      </c>
      <c r="M66" t="s">
        <v>15</v>
      </c>
      <c r="N66" s="10" t="s">
        <v>87</v>
      </c>
    </row>
    <row r="67" spans="1:14" x14ac:dyDescent="0.25">
      <c r="A67" s="4" t="s">
        <v>15</v>
      </c>
      <c r="B67" s="5">
        <v>1</v>
      </c>
      <c r="C67" s="5">
        <f>5/14</f>
        <v>0.35714285714285715</v>
      </c>
      <c r="D67" s="5">
        <f>8/15</f>
        <v>0.53333333333333333</v>
      </c>
      <c r="E67" s="5">
        <f>10/16</f>
        <v>0.625</v>
      </c>
      <c r="F67" s="5">
        <f>8/16</f>
        <v>0.5</v>
      </c>
      <c r="G67" s="5">
        <f>6/16</f>
        <v>0.375</v>
      </c>
      <c r="H67" s="5">
        <f>12/15</f>
        <v>0.8</v>
      </c>
      <c r="I67" s="5">
        <f>4/17</f>
        <v>0.23529411764705882</v>
      </c>
      <c r="J67" s="5">
        <f>10/16</f>
        <v>0.625</v>
      </c>
      <c r="K67" s="5">
        <f>8/17</f>
        <v>0.47058823529411764</v>
      </c>
      <c r="M67" t="s">
        <v>16</v>
      </c>
      <c r="N67" s="11" t="s">
        <v>88</v>
      </c>
    </row>
    <row r="68" spans="1:14" x14ac:dyDescent="0.25">
      <c r="A68" s="4" t="s">
        <v>16</v>
      </c>
      <c r="B68" s="5">
        <v>0.35714285714285715</v>
      </c>
      <c r="C68" s="5">
        <v>1</v>
      </c>
      <c r="D68" s="5">
        <f>6/11</f>
        <v>0.54545454545454541</v>
      </c>
      <c r="E68" s="5">
        <f>6/12</f>
        <v>0.5</v>
      </c>
      <c r="F68" s="5">
        <f>6/12</f>
        <v>0.5</v>
      </c>
      <c r="G68" s="5">
        <f>6/12</f>
        <v>0.5</v>
      </c>
      <c r="H68" s="5">
        <f>6/11</f>
        <v>0.54545454545454541</v>
      </c>
      <c r="I68" s="5">
        <f>2/13</f>
        <v>0.15384615384615385</v>
      </c>
      <c r="J68" s="5">
        <f>8/12</f>
        <v>0.66666666666666663</v>
      </c>
      <c r="K68" s="5">
        <f>6/13</f>
        <v>0.46153846153846156</v>
      </c>
      <c r="M68" t="s">
        <v>17</v>
      </c>
      <c r="N68" s="11" t="s">
        <v>89</v>
      </c>
    </row>
    <row r="69" spans="1:14" x14ac:dyDescent="0.25">
      <c r="A69" s="4" t="s">
        <v>17</v>
      </c>
      <c r="B69" s="5">
        <v>0.53333333333333333</v>
      </c>
      <c r="C69" s="5">
        <v>0.54545454545454541</v>
      </c>
      <c r="D69" s="5">
        <v>1</v>
      </c>
      <c r="E69" s="5">
        <f>4/13</f>
        <v>0.30769230769230771</v>
      </c>
      <c r="F69" s="5">
        <f>6/12</f>
        <v>0.5</v>
      </c>
      <c r="G69" s="5">
        <f>6/12</f>
        <v>0.5</v>
      </c>
      <c r="H69" s="5">
        <f>6/11</f>
        <v>0.54545454545454541</v>
      </c>
      <c r="I69" s="5">
        <f>2/13</f>
        <v>0.15384615384615385</v>
      </c>
      <c r="J69" s="5">
        <f>8/12</f>
        <v>0.66666666666666663</v>
      </c>
      <c r="K69" s="5">
        <f>6/13</f>
        <v>0.46153846153846156</v>
      </c>
      <c r="M69" t="s">
        <v>18</v>
      </c>
      <c r="N69" s="11" t="s">
        <v>90</v>
      </c>
    </row>
    <row r="70" spans="1:14" x14ac:dyDescent="0.25">
      <c r="A70" s="4" t="s">
        <v>18</v>
      </c>
      <c r="B70" s="5">
        <v>0.625</v>
      </c>
      <c r="C70" s="5">
        <v>0.5</v>
      </c>
      <c r="D70" s="5">
        <v>0.5</v>
      </c>
      <c r="E70" s="5">
        <v>1</v>
      </c>
      <c r="F70" s="5">
        <f>6/12</f>
        <v>0.5</v>
      </c>
      <c r="G70" s="5">
        <f>6/12</f>
        <v>0.5</v>
      </c>
      <c r="H70" s="5">
        <f>6/11</f>
        <v>0.54545454545454541</v>
      </c>
      <c r="I70" s="5">
        <f>2/13</f>
        <v>0.15384615384615385</v>
      </c>
      <c r="J70" s="5">
        <f>8/12</f>
        <v>0.66666666666666663</v>
      </c>
      <c r="K70" s="5">
        <f>6/13</f>
        <v>0.46153846153846156</v>
      </c>
      <c r="M70" t="s">
        <v>19</v>
      </c>
      <c r="N70" s="11" t="s">
        <v>91</v>
      </c>
    </row>
    <row r="71" spans="1:14" x14ac:dyDescent="0.25">
      <c r="A71" s="4" t="s">
        <v>19</v>
      </c>
      <c r="B71" s="5">
        <v>0.5</v>
      </c>
      <c r="C71" s="5">
        <v>0.5</v>
      </c>
      <c r="D71" s="5">
        <v>0.5</v>
      </c>
      <c r="E71" s="5">
        <v>0.5</v>
      </c>
      <c r="F71" s="5">
        <v>1</v>
      </c>
      <c r="G71" s="5">
        <f>6/14</f>
        <v>0.42857142857142855</v>
      </c>
      <c r="H71" s="5">
        <f>4/13</f>
        <v>0.30769230769230771</v>
      </c>
      <c r="I71" s="5">
        <f>6/15</f>
        <v>0.4</v>
      </c>
      <c r="J71" s="5">
        <f>6/14</f>
        <v>0.42857142857142855</v>
      </c>
      <c r="K71" s="5">
        <f>6/15</f>
        <v>0.4</v>
      </c>
      <c r="M71" t="s">
        <v>20</v>
      </c>
      <c r="N71" s="11" t="s">
        <v>92</v>
      </c>
    </row>
    <row r="72" spans="1:14" x14ac:dyDescent="0.25">
      <c r="A72" s="4" t="s">
        <v>20</v>
      </c>
      <c r="B72" s="5">
        <v>0.375</v>
      </c>
      <c r="C72" s="5">
        <v>0.5</v>
      </c>
      <c r="D72" s="5">
        <v>0.5</v>
      </c>
      <c r="E72" s="5">
        <v>0.5</v>
      </c>
      <c r="F72" s="5">
        <v>0.42857142857142855</v>
      </c>
      <c r="G72" s="5">
        <v>1</v>
      </c>
      <c r="H72" s="5">
        <f>4/13</f>
        <v>0.30769230769230771</v>
      </c>
      <c r="I72" s="5">
        <f>4/15</f>
        <v>0.26666666666666666</v>
      </c>
      <c r="J72" s="5">
        <f>6/14</f>
        <v>0.42857142857142855</v>
      </c>
      <c r="K72" s="5">
        <f>8/15</f>
        <v>0.53333333333333333</v>
      </c>
      <c r="M72" t="s">
        <v>21</v>
      </c>
      <c r="N72" s="11" t="s">
        <v>93</v>
      </c>
    </row>
    <row r="73" spans="1:14" x14ac:dyDescent="0.25">
      <c r="A73" s="4" t="s">
        <v>21</v>
      </c>
      <c r="B73" s="5">
        <v>0.8</v>
      </c>
      <c r="C73" s="5">
        <v>0.54545454545454541</v>
      </c>
      <c r="D73" s="5">
        <v>0.54545454545454541</v>
      </c>
      <c r="E73" s="5">
        <v>0.54545454545454541</v>
      </c>
      <c r="F73" s="5">
        <v>0.30769230769230771</v>
      </c>
      <c r="G73" s="5">
        <v>0.30769230769230771</v>
      </c>
      <c r="H73" s="5">
        <v>1</v>
      </c>
      <c r="I73" s="5">
        <f>2/14</f>
        <v>0.14285714285714285</v>
      </c>
      <c r="J73" s="5">
        <f>8/13</f>
        <v>0.61538461538461542</v>
      </c>
      <c r="K73" s="5">
        <f>6/14</f>
        <v>0.42857142857142855</v>
      </c>
      <c r="M73" t="s">
        <v>22</v>
      </c>
      <c r="N73" s="11" t="s">
        <v>94</v>
      </c>
    </row>
    <row r="74" spans="1:14" x14ac:dyDescent="0.25">
      <c r="A74" s="4" t="s">
        <v>22</v>
      </c>
      <c r="B74" s="5">
        <v>0.23529411764705882</v>
      </c>
      <c r="C74" s="5">
        <v>0.15384615384615385</v>
      </c>
      <c r="D74" s="5">
        <v>0.15384615384615385</v>
      </c>
      <c r="E74" s="5">
        <v>0.15384615384615385</v>
      </c>
      <c r="F74" s="5">
        <v>0.4</v>
      </c>
      <c r="G74" s="5">
        <v>0.26666666666666666</v>
      </c>
      <c r="H74" s="5">
        <v>0.14285714285714285</v>
      </c>
      <c r="I74" s="5">
        <v>1</v>
      </c>
      <c r="J74" s="5">
        <f>4/15</f>
        <v>0.26666666666666666</v>
      </c>
      <c r="K74" s="5">
        <f>4/16</f>
        <v>0.25</v>
      </c>
      <c r="M74" t="s">
        <v>23</v>
      </c>
      <c r="N74" s="11" t="s">
        <v>95</v>
      </c>
    </row>
    <row r="75" spans="1:14" x14ac:dyDescent="0.25">
      <c r="A75" s="4" t="s">
        <v>23</v>
      </c>
      <c r="B75" s="5">
        <v>0.625</v>
      </c>
      <c r="C75" s="5">
        <v>0.66666666666666663</v>
      </c>
      <c r="D75" s="5">
        <v>0.66666666666666663</v>
      </c>
      <c r="E75" s="5">
        <v>0.66666666666666663</v>
      </c>
      <c r="F75" s="5">
        <v>0.42857142857142855</v>
      </c>
      <c r="G75" s="5">
        <v>0.42857142857142855</v>
      </c>
      <c r="H75" s="5">
        <v>0.61538461538461542</v>
      </c>
      <c r="I75" s="5">
        <v>0.26666666666666666</v>
      </c>
      <c r="J75" s="5">
        <v>1</v>
      </c>
      <c r="K75" s="5">
        <f>8/15</f>
        <v>0.53333333333333333</v>
      </c>
      <c r="M75" t="s">
        <v>24</v>
      </c>
      <c r="N75" s="11" t="s">
        <v>96</v>
      </c>
    </row>
    <row r="76" spans="1:14" x14ac:dyDescent="0.25">
      <c r="A76" s="4" t="s">
        <v>24</v>
      </c>
      <c r="B76" s="5">
        <f>8/17</f>
        <v>0.47058823529411764</v>
      </c>
      <c r="C76" s="5">
        <v>0.46153846153846156</v>
      </c>
      <c r="D76" s="5">
        <v>0.46153846153846156</v>
      </c>
      <c r="E76" s="5">
        <v>0.46153846153846156</v>
      </c>
      <c r="F76" s="5">
        <v>0.4</v>
      </c>
      <c r="G76" s="5">
        <v>0.53333333333333333</v>
      </c>
      <c r="H76" s="5">
        <v>0.42857142857142855</v>
      </c>
      <c r="I76" s="5">
        <v>0.25</v>
      </c>
      <c r="J76" s="5">
        <v>0.53</v>
      </c>
      <c r="K76" s="5">
        <v>1</v>
      </c>
    </row>
    <row r="79" spans="1:14" x14ac:dyDescent="0.25">
      <c r="A79" t="s">
        <v>36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</row>
    <row r="80" spans="1:14" x14ac:dyDescent="0.25">
      <c r="B80" s="12" t="s">
        <v>37</v>
      </c>
      <c r="C80" s="12" t="s">
        <v>38</v>
      </c>
      <c r="D80" s="12" t="s">
        <v>38</v>
      </c>
      <c r="E80" s="12" t="s">
        <v>39</v>
      </c>
      <c r="F80" s="12"/>
      <c r="G80" s="12"/>
      <c r="H80" s="12"/>
      <c r="I80" s="12"/>
      <c r="J80" s="12"/>
      <c r="K80" s="12"/>
      <c r="M80" t="s">
        <v>97</v>
      </c>
    </row>
    <row r="81" spans="1:11" x14ac:dyDescent="0.25">
      <c r="A81" t="s">
        <v>40</v>
      </c>
      <c r="B81" s="12" t="s">
        <v>41</v>
      </c>
      <c r="C81" s="12" t="s">
        <v>42</v>
      </c>
      <c r="D81" s="12" t="s">
        <v>43</v>
      </c>
      <c r="E81" s="12" t="s">
        <v>44</v>
      </c>
      <c r="F81" s="12"/>
      <c r="G81" s="12"/>
      <c r="H81" s="12"/>
      <c r="I81" s="12"/>
      <c r="J81" s="12"/>
      <c r="K81" s="12"/>
    </row>
    <row r="82" spans="1:11" x14ac:dyDescent="0.25">
      <c r="A82">
        <v>9</v>
      </c>
      <c r="B82" s="12">
        <v>1</v>
      </c>
      <c r="C82" s="12">
        <v>1.659824</v>
      </c>
      <c r="D82" s="12" t="s">
        <v>45</v>
      </c>
      <c r="E82" s="12" t="s">
        <v>98</v>
      </c>
      <c r="F82" s="12"/>
      <c r="G82" s="12"/>
      <c r="H82" s="12"/>
      <c r="I82" s="12"/>
      <c r="J82" s="12"/>
      <c r="K82" s="12"/>
    </row>
    <row r="83" spans="1:11" x14ac:dyDescent="0.25">
      <c r="A83">
        <v>8</v>
      </c>
      <c r="B83" s="12">
        <v>2</v>
      </c>
      <c r="C83" s="12">
        <v>1.2837769999999999</v>
      </c>
      <c r="D83" s="12" t="s">
        <v>99</v>
      </c>
      <c r="E83" s="12" t="s">
        <v>100</v>
      </c>
      <c r="F83" s="12"/>
      <c r="G83" s="12"/>
      <c r="H83" s="12"/>
      <c r="I83" s="12"/>
      <c r="J83" s="12"/>
      <c r="K83" s="12"/>
    </row>
    <row r="84" spans="1:11" x14ac:dyDescent="0.25">
      <c r="A84">
        <v>7</v>
      </c>
      <c r="B84" s="12">
        <v>3</v>
      </c>
      <c r="C84" s="12">
        <v>1.2050320000000001</v>
      </c>
      <c r="D84" s="12" t="s">
        <v>101</v>
      </c>
      <c r="E84" s="12" t="s">
        <v>102</v>
      </c>
      <c r="F84" s="12"/>
      <c r="G84" s="12"/>
      <c r="H84" s="12"/>
      <c r="I84" s="12"/>
      <c r="J84" s="12"/>
      <c r="K84" s="12"/>
    </row>
    <row r="85" spans="1:11" x14ac:dyDescent="0.25">
      <c r="A85">
        <v>6</v>
      </c>
      <c r="B85" s="12">
        <v>4</v>
      </c>
      <c r="C85" s="12">
        <v>1.105532</v>
      </c>
      <c r="D85" s="12" t="s">
        <v>103</v>
      </c>
      <c r="E85" s="12" t="s">
        <v>104</v>
      </c>
      <c r="F85" s="12"/>
      <c r="G85" s="12"/>
      <c r="H85" s="12"/>
      <c r="I85" s="12"/>
      <c r="J85" s="12"/>
      <c r="K85" s="12"/>
    </row>
    <row r="86" spans="1:11" x14ac:dyDescent="0.25">
      <c r="A86">
        <v>5</v>
      </c>
      <c r="B86" s="12">
        <v>5</v>
      </c>
      <c r="C86" s="12">
        <v>0.90987399999999996</v>
      </c>
      <c r="D86" s="12" t="s">
        <v>52</v>
      </c>
      <c r="E86" s="12" t="s">
        <v>105</v>
      </c>
      <c r="F86" s="12"/>
      <c r="G86" s="12"/>
      <c r="H86" s="12"/>
      <c r="I86" s="12"/>
      <c r="J86" s="12"/>
      <c r="K86" s="12"/>
    </row>
    <row r="87" spans="1:11" x14ac:dyDescent="0.25">
      <c r="A87">
        <v>4</v>
      </c>
      <c r="B87" s="12">
        <v>6</v>
      </c>
      <c r="C87" s="12">
        <v>0.88229100000000005</v>
      </c>
      <c r="D87" s="12" t="s">
        <v>52</v>
      </c>
      <c r="E87" s="12" t="s">
        <v>106</v>
      </c>
      <c r="F87" s="12"/>
      <c r="G87" s="12"/>
      <c r="H87" s="12"/>
      <c r="I87" s="12"/>
      <c r="J87" s="12"/>
      <c r="K87" s="12"/>
    </row>
    <row r="88" spans="1:11" x14ac:dyDescent="0.25">
      <c r="A88">
        <v>3</v>
      </c>
      <c r="B88" s="12">
        <v>7</v>
      </c>
      <c r="C88" s="12">
        <v>0.850576</v>
      </c>
      <c r="D88" s="12" t="s">
        <v>55</v>
      </c>
      <c r="E88" s="12" t="s">
        <v>107</v>
      </c>
      <c r="F88" s="12"/>
      <c r="G88" s="12"/>
      <c r="H88" s="12"/>
      <c r="I88" s="12"/>
      <c r="J88" s="12"/>
      <c r="K88" s="12"/>
    </row>
    <row r="89" spans="1:11" x14ac:dyDescent="0.25">
      <c r="A89">
        <v>2</v>
      </c>
      <c r="B89">
        <v>8</v>
      </c>
      <c r="C89">
        <v>0.84665199999999996</v>
      </c>
      <c r="D89" t="s">
        <v>55</v>
      </c>
      <c r="E89" t="s">
        <v>108</v>
      </c>
    </row>
    <row r="90" spans="1:11" x14ac:dyDescent="0.25">
      <c r="A90">
        <v>1</v>
      </c>
      <c r="B90">
        <v>9</v>
      </c>
      <c r="C90">
        <v>0.60936000000000001</v>
      </c>
      <c r="D90" t="s">
        <v>85</v>
      </c>
      <c r="E90" t="s">
        <v>109</v>
      </c>
    </row>
    <row r="92" spans="1:11" x14ac:dyDescent="0.25">
      <c r="A92" t="s">
        <v>61</v>
      </c>
      <c r="B92">
        <v>0.93108999999999997</v>
      </c>
    </row>
    <row r="93" spans="1:11" x14ac:dyDescent="0.25">
      <c r="A93" t="s">
        <v>62</v>
      </c>
      <c r="B93">
        <v>0.138131</v>
      </c>
    </row>
    <row r="94" spans="1:11" x14ac:dyDescent="0.25">
      <c r="A94" t="s">
        <v>63</v>
      </c>
      <c r="B94">
        <v>0.18673100000000001</v>
      </c>
    </row>
    <row r="97" spans="1:29" s="13" customFormat="1" x14ac:dyDescent="0.25">
      <c r="A97" s="13" t="s">
        <v>110</v>
      </c>
    </row>
    <row r="98" spans="1:29" x14ac:dyDescent="0.25">
      <c r="P98" t="s">
        <v>111</v>
      </c>
      <c r="Q98" t="s">
        <v>112</v>
      </c>
      <c r="R98" t="s">
        <v>113</v>
      </c>
      <c r="S98" t="s">
        <v>114</v>
      </c>
    </row>
    <row r="99" spans="1:29" x14ac:dyDescent="0.25">
      <c r="A99" s="2"/>
      <c r="B99" s="3" t="s">
        <v>15</v>
      </c>
      <c r="C99" s="3" t="s">
        <v>16</v>
      </c>
      <c r="D99" s="3" t="s">
        <v>17</v>
      </c>
      <c r="E99" s="3" t="s">
        <v>18</v>
      </c>
      <c r="F99" s="3" t="s">
        <v>19</v>
      </c>
      <c r="G99" s="3" t="s">
        <v>20</v>
      </c>
      <c r="H99" s="3" t="s">
        <v>21</v>
      </c>
      <c r="I99" s="3" t="s">
        <v>22</v>
      </c>
      <c r="J99" s="3" t="s">
        <v>23</v>
      </c>
      <c r="K99" s="3" t="s">
        <v>24</v>
      </c>
      <c r="M99" t="s">
        <v>15</v>
      </c>
      <c r="N99" s="10" t="s">
        <v>115</v>
      </c>
      <c r="P99" s="14">
        <v>0.93</v>
      </c>
      <c r="Q99" s="14" t="s">
        <v>116</v>
      </c>
      <c r="R99" t="s">
        <v>117</v>
      </c>
      <c r="S99">
        <v>3</v>
      </c>
    </row>
    <row r="100" spans="1:29" x14ac:dyDescent="0.25">
      <c r="A100" s="4" t="s">
        <v>15</v>
      </c>
      <c r="B100" s="5">
        <v>1</v>
      </c>
      <c r="C100" s="5">
        <f>12/15</f>
        <v>0.8</v>
      </c>
      <c r="D100" s="5">
        <f>2/16</f>
        <v>0.125</v>
      </c>
      <c r="E100" s="5">
        <f>12/14</f>
        <v>0.8571428571428571</v>
      </c>
      <c r="F100" s="5">
        <f>8/14</f>
        <v>0.5714285714285714</v>
      </c>
      <c r="G100" s="5">
        <f>4/16</f>
        <v>0.25</v>
      </c>
      <c r="H100" s="5">
        <f>10/13</f>
        <v>0.76923076923076927</v>
      </c>
      <c r="I100" s="5">
        <f>14/15</f>
        <v>0.93333333333333335</v>
      </c>
      <c r="J100" s="5">
        <f>6/13</f>
        <v>0.46153846153846156</v>
      </c>
      <c r="K100" s="5">
        <f>6/12</f>
        <v>0.5</v>
      </c>
      <c r="M100" t="s">
        <v>16</v>
      </c>
      <c r="N100" s="15" t="s">
        <v>118</v>
      </c>
      <c r="P100" s="16">
        <v>0.88</v>
      </c>
      <c r="Q100" s="16" t="s">
        <v>119</v>
      </c>
      <c r="R100" t="s">
        <v>120</v>
      </c>
      <c r="S100">
        <v>4</v>
      </c>
    </row>
    <row r="101" spans="1:29" x14ac:dyDescent="0.25">
      <c r="A101" s="4" t="s">
        <v>16</v>
      </c>
      <c r="B101" s="5">
        <v>0.8</v>
      </c>
      <c r="C101" s="5">
        <v>1</v>
      </c>
      <c r="D101" s="5">
        <f>6/17</f>
        <v>0.35294117647058826</v>
      </c>
      <c r="E101" s="5">
        <f>10/15</f>
        <v>0.66666666666666663</v>
      </c>
      <c r="F101" s="5">
        <f>6/15</f>
        <v>0.4</v>
      </c>
      <c r="G101" s="5">
        <f>4/17</f>
        <v>0.23529411764705882</v>
      </c>
      <c r="H101" s="5">
        <f>12/14</f>
        <v>0.8571428571428571</v>
      </c>
      <c r="I101" s="5">
        <f>14/16</f>
        <v>0.875</v>
      </c>
      <c r="J101" s="5">
        <f>6/14</f>
        <v>0.42857142857142855</v>
      </c>
      <c r="K101" s="5">
        <f>6/13</f>
        <v>0.46153846153846156</v>
      </c>
      <c r="M101" t="s">
        <v>17</v>
      </c>
      <c r="N101" s="15" t="s">
        <v>121</v>
      </c>
      <c r="P101" s="14">
        <v>0.86</v>
      </c>
      <c r="Q101" s="14" t="s">
        <v>122</v>
      </c>
      <c r="R101" t="s">
        <v>123</v>
      </c>
      <c r="S101">
        <v>4</v>
      </c>
    </row>
    <row r="102" spans="1:29" x14ac:dyDescent="0.25">
      <c r="A102" s="4" t="s">
        <v>17</v>
      </c>
      <c r="B102" s="5">
        <v>0.125</v>
      </c>
      <c r="C102" s="5">
        <v>0.35294117647058826</v>
      </c>
      <c r="D102" s="5">
        <v>1</v>
      </c>
      <c r="E102" s="5">
        <f>2/16</f>
        <v>0.125</v>
      </c>
      <c r="F102" s="5">
        <f>2/16</f>
        <v>0.125</v>
      </c>
      <c r="G102" s="5">
        <f>4/18</f>
        <v>0.22222222222222221</v>
      </c>
      <c r="H102" s="5">
        <f>4/15</f>
        <v>0.26666666666666666</v>
      </c>
      <c r="I102" s="5">
        <f>4/17</f>
        <v>0.23529411764705882</v>
      </c>
      <c r="J102" s="5">
        <f>2/15</f>
        <v>0.13333333333333333</v>
      </c>
      <c r="K102" s="5">
        <f>2/14</f>
        <v>0.14285714285714285</v>
      </c>
      <c r="M102" t="s">
        <v>18</v>
      </c>
      <c r="N102" s="15" t="s">
        <v>124</v>
      </c>
      <c r="O102">
        <v>7</v>
      </c>
      <c r="P102" s="16">
        <v>0.86</v>
      </c>
      <c r="Q102" s="16" t="s">
        <v>125</v>
      </c>
      <c r="R102" t="s">
        <v>126</v>
      </c>
      <c r="S102">
        <v>2</v>
      </c>
    </row>
    <row r="103" spans="1:29" x14ac:dyDescent="0.25">
      <c r="A103" s="4" t="s">
        <v>18</v>
      </c>
      <c r="B103" s="5">
        <v>0.8571428571428571</v>
      </c>
      <c r="C103" s="5">
        <v>0.66666666666666663</v>
      </c>
      <c r="D103" s="5">
        <v>0.125</v>
      </c>
      <c r="E103" s="5">
        <v>1</v>
      </c>
      <c r="F103" s="5">
        <f>6/14</f>
        <v>0.42857142857142855</v>
      </c>
      <c r="G103" s="5">
        <f>2/16</f>
        <v>0.125</v>
      </c>
      <c r="H103" s="5">
        <f>8/13</f>
        <v>0.61538461538461542</v>
      </c>
      <c r="I103" s="5">
        <f>12/15</f>
        <v>0.8</v>
      </c>
      <c r="J103" s="5">
        <f>6/13</f>
        <v>0.46153846153846156</v>
      </c>
      <c r="K103" s="5">
        <f>8/12</f>
        <v>0.66666666666666663</v>
      </c>
      <c r="M103" t="s">
        <v>19</v>
      </c>
      <c r="N103" s="15" t="s">
        <v>127</v>
      </c>
      <c r="P103" s="16">
        <v>0.86</v>
      </c>
      <c r="Q103" s="16" t="s">
        <v>128</v>
      </c>
      <c r="R103" t="s">
        <v>129</v>
      </c>
      <c r="S103">
        <v>4</v>
      </c>
    </row>
    <row r="104" spans="1:29" x14ac:dyDescent="0.25">
      <c r="A104" s="4" t="s">
        <v>19</v>
      </c>
      <c r="B104" s="5">
        <v>0.5714285714285714</v>
      </c>
      <c r="C104" s="5">
        <v>0.4</v>
      </c>
      <c r="D104" s="5">
        <v>0.125</v>
      </c>
      <c r="E104" s="5">
        <v>0.42857142857142855</v>
      </c>
      <c r="F104" s="5">
        <v>1</v>
      </c>
      <c r="G104" s="5">
        <f>4/16</f>
        <v>0.25</v>
      </c>
      <c r="H104" s="5">
        <f>6/13</f>
        <v>0.46153846153846156</v>
      </c>
      <c r="I104" s="5">
        <f>8/15</f>
        <v>0.53333333333333333</v>
      </c>
      <c r="J104" s="5">
        <f>4/13</f>
        <v>0.30769230769230771</v>
      </c>
      <c r="K104" s="5">
        <f>4/12</f>
        <v>0.33333333333333331</v>
      </c>
      <c r="M104" t="s">
        <v>20</v>
      </c>
      <c r="N104" s="15" t="s">
        <v>130</v>
      </c>
      <c r="O104">
        <v>9</v>
      </c>
      <c r="P104" s="16">
        <v>0.8</v>
      </c>
      <c r="Q104" s="16" t="s">
        <v>131</v>
      </c>
      <c r="R104" t="s">
        <v>132</v>
      </c>
      <c r="S104">
        <v>1</v>
      </c>
    </row>
    <row r="105" spans="1:29" x14ac:dyDescent="0.25">
      <c r="A105" s="4" t="s">
        <v>20</v>
      </c>
      <c r="B105" s="5">
        <v>0.25</v>
      </c>
      <c r="C105" s="5">
        <v>0.23529411764705882</v>
      </c>
      <c r="D105" s="5">
        <v>0.22222222222222221</v>
      </c>
      <c r="E105" s="5">
        <v>0.125</v>
      </c>
      <c r="F105" s="5">
        <v>0.25</v>
      </c>
      <c r="G105" s="5">
        <v>1</v>
      </c>
      <c r="H105" s="5">
        <f>4/15</f>
        <v>0.26666666666666666</v>
      </c>
      <c r="I105" s="5">
        <f>4/17</f>
        <v>0.23529411764705882</v>
      </c>
      <c r="J105" s="5">
        <f>2/15</f>
        <v>0.13333333333333333</v>
      </c>
      <c r="K105" s="5">
        <f>4/14</f>
        <v>0.2857142857142857</v>
      </c>
      <c r="M105" t="s">
        <v>21</v>
      </c>
      <c r="N105" s="15" t="s">
        <v>133</v>
      </c>
      <c r="P105" s="16">
        <v>0.8</v>
      </c>
      <c r="Q105" s="16" t="s">
        <v>134</v>
      </c>
    </row>
    <row r="106" spans="1:29" x14ac:dyDescent="0.25">
      <c r="A106" s="4" t="s">
        <v>21</v>
      </c>
      <c r="B106" s="5">
        <v>0.76923076923076927</v>
      </c>
      <c r="C106" s="5">
        <v>0.8571428571428571</v>
      </c>
      <c r="D106" s="5">
        <v>0.26666666666666666</v>
      </c>
      <c r="E106" s="5">
        <v>0.61538461538461542</v>
      </c>
      <c r="F106" s="5">
        <v>0.46153846153846156</v>
      </c>
      <c r="G106" s="5">
        <v>0.26666666666666666</v>
      </c>
      <c r="H106" s="5">
        <v>1</v>
      </c>
      <c r="I106" s="5">
        <f>12/14</f>
        <v>0.8571428571428571</v>
      </c>
      <c r="J106" s="5">
        <f>6/12</f>
        <v>0.5</v>
      </c>
      <c r="K106" s="5">
        <f>6/11</f>
        <v>0.54545454545454541</v>
      </c>
      <c r="M106" t="s">
        <v>22</v>
      </c>
      <c r="N106" s="15" t="s">
        <v>135</v>
      </c>
      <c r="P106" s="16">
        <v>0.67</v>
      </c>
      <c r="Q106" s="16" t="s">
        <v>136</v>
      </c>
    </row>
    <row r="107" spans="1:29" x14ac:dyDescent="0.25">
      <c r="A107" s="4" t="s">
        <v>22</v>
      </c>
      <c r="B107" s="5">
        <v>0.93333333333333335</v>
      </c>
      <c r="C107" s="5">
        <v>0.875</v>
      </c>
      <c r="D107" s="5">
        <v>0.23529411764705882</v>
      </c>
      <c r="E107" s="5">
        <v>0.8</v>
      </c>
      <c r="F107" s="5">
        <v>0.53333333333333333</v>
      </c>
      <c r="G107" s="5">
        <v>0.23529411764705882</v>
      </c>
      <c r="H107" s="5">
        <v>0.8571428571428571</v>
      </c>
      <c r="I107" s="5">
        <v>1</v>
      </c>
      <c r="J107" s="5">
        <f>6/14</f>
        <v>0.42857142857142855</v>
      </c>
      <c r="K107" s="5">
        <f>6/13</f>
        <v>0.46153846153846156</v>
      </c>
      <c r="M107" t="s">
        <v>23</v>
      </c>
      <c r="N107" s="15" t="s">
        <v>137</v>
      </c>
      <c r="P107" s="14">
        <v>0.67</v>
      </c>
      <c r="Q107" s="14" t="s">
        <v>138</v>
      </c>
    </row>
    <row r="108" spans="1:29" x14ac:dyDescent="0.25">
      <c r="A108" s="4" t="s">
        <v>23</v>
      </c>
      <c r="B108" s="5">
        <v>0.46153846153846156</v>
      </c>
      <c r="C108" s="5">
        <v>0.42857142857142855</v>
      </c>
      <c r="D108" s="5">
        <v>0.13333333333333333</v>
      </c>
      <c r="E108" s="5">
        <v>0.46153846153846156</v>
      </c>
      <c r="F108" s="5">
        <v>0.30769230769230771</v>
      </c>
      <c r="G108" s="5">
        <v>0.13333333333333333</v>
      </c>
      <c r="H108" s="5">
        <v>0.5</v>
      </c>
      <c r="I108" s="5">
        <v>0.42857142857142855</v>
      </c>
      <c r="J108" s="5">
        <v>1</v>
      </c>
      <c r="K108" s="5">
        <f>4/11</f>
        <v>0.36363636363636365</v>
      </c>
      <c r="M108" t="s">
        <v>24</v>
      </c>
      <c r="N108" s="15" t="s">
        <v>139</v>
      </c>
    </row>
    <row r="109" spans="1:29" x14ac:dyDescent="0.25">
      <c r="A109" s="4" t="s">
        <v>24</v>
      </c>
      <c r="B109" s="5">
        <v>0.5</v>
      </c>
      <c r="C109" s="5">
        <v>0.46153846153846156</v>
      </c>
      <c r="D109" s="5">
        <v>0.14285714285714285</v>
      </c>
      <c r="E109" s="5">
        <v>0.66666666666666663</v>
      </c>
      <c r="F109" s="5">
        <v>0.33333333333333331</v>
      </c>
      <c r="G109" s="5">
        <v>0.2857142857142857</v>
      </c>
      <c r="H109" s="5">
        <v>0.54545454545454541</v>
      </c>
      <c r="I109" s="5">
        <v>0.46153846153846156</v>
      </c>
      <c r="J109" s="5">
        <v>0.36363636363636365</v>
      </c>
      <c r="K109" s="5">
        <v>1</v>
      </c>
      <c r="N109" s="15"/>
    </row>
    <row r="112" spans="1:29" x14ac:dyDescent="0.25">
      <c r="B112" s="6"/>
      <c r="C112" s="6"/>
      <c r="D112" s="6"/>
      <c r="E112" s="6"/>
      <c r="F112" s="6"/>
      <c r="G112" s="6"/>
      <c r="H112" s="6"/>
      <c r="I112" s="6"/>
      <c r="J112" s="6"/>
      <c r="K112" s="6"/>
      <c r="N112" t="s">
        <v>113</v>
      </c>
      <c r="O112" t="s">
        <v>0</v>
      </c>
      <c r="P112" t="s">
        <v>1</v>
      </c>
      <c r="Q112" t="s">
        <v>2</v>
      </c>
      <c r="R112" t="s">
        <v>3</v>
      </c>
      <c r="S112" t="s">
        <v>5</v>
      </c>
      <c r="T112" t="s">
        <v>4</v>
      </c>
      <c r="U112" t="s">
        <v>13</v>
      </c>
      <c r="V112" t="s">
        <v>14</v>
      </c>
      <c r="W112" t="s">
        <v>140</v>
      </c>
      <c r="X112" t="s">
        <v>6</v>
      </c>
      <c r="Y112" t="s">
        <v>141</v>
      </c>
      <c r="Z112" t="s">
        <v>142</v>
      </c>
      <c r="AA112" t="s">
        <v>143</v>
      </c>
      <c r="AB112" t="s">
        <v>144</v>
      </c>
      <c r="AC112" t="s">
        <v>145</v>
      </c>
    </row>
    <row r="113" spans="1:30" x14ac:dyDescent="0.25">
      <c r="A113" t="s">
        <v>36</v>
      </c>
      <c r="B113" s="6"/>
      <c r="C113" s="6"/>
      <c r="D113" s="6"/>
      <c r="E113" s="6"/>
      <c r="F113" s="6"/>
      <c r="G113" s="6"/>
      <c r="H113" s="6"/>
      <c r="I113" s="6"/>
      <c r="J113" s="6"/>
      <c r="K113" s="6"/>
    </row>
    <row r="114" spans="1:30" x14ac:dyDescent="0.25">
      <c r="B114" s="6" t="s">
        <v>37</v>
      </c>
      <c r="C114" s="6" t="s">
        <v>38</v>
      </c>
      <c r="D114" s="6" t="s">
        <v>38</v>
      </c>
      <c r="E114" s="6" t="s">
        <v>39</v>
      </c>
      <c r="F114" s="6"/>
      <c r="G114" s="6"/>
      <c r="H114" s="6"/>
      <c r="I114" s="6"/>
      <c r="J114" s="6"/>
      <c r="K114" s="6"/>
      <c r="N114" s="17" t="s">
        <v>15</v>
      </c>
      <c r="O114" s="17">
        <v>1</v>
      </c>
      <c r="P114" s="17">
        <v>1</v>
      </c>
      <c r="Q114" s="17">
        <v>1</v>
      </c>
      <c r="R114" s="17">
        <v>1</v>
      </c>
      <c r="S114" s="17">
        <v>1</v>
      </c>
      <c r="T114" s="17">
        <v>1</v>
      </c>
      <c r="U114" s="17">
        <v>1</v>
      </c>
      <c r="V114" s="17"/>
      <c r="W114" s="17"/>
      <c r="X114" s="17"/>
      <c r="Y114" s="17"/>
      <c r="Z114" s="17"/>
      <c r="AA114" s="17"/>
      <c r="AB114" s="17"/>
      <c r="AC114" s="17"/>
      <c r="AD114">
        <f>SUM(O114:AC114)</f>
        <v>7</v>
      </c>
    </row>
    <row r="115" spans="1:30" x14ac:dyDescent="0.25">
      <c r="A115" t="s">
        <v>40</v>
      </c>
      <c r="B115" s="6" t="s">
        <v>41</v>
      </c>
      <c r="C115" s="6" t="s">
        <v>42</v>
      </c>
      <c r="D115" s="6" t="s">
        <v>43</v>
      </c>
      <c r="E115" s="6" t="s">
        <v>44</v>
      </c>
      <c r="F115" s="6"/>
      <c r="G115" s="6"/>
      <c r="H115" s="6"/>
      <c r="I115" s="6"/>
      <c r="J115" s="6"/>
      <c r="K115" s="6"/>
      <c r="N115" s="17" t="s">
        <v>16</v>
      </c>
      <c r="O115" s="17">
        <v>1</v>
      </c>
      <c r="P115" s="17">
        <v>0</v>
      </c>
      <c r="Q115" s="17">
        <v>1</v>
      </c>
      <c r="R115" s="17">
        <v>1</v>
      </c>
      <c r="S115" s="17">
        <v>1</v>
      </c>
      <c r="T115" s="17">
        <v>1</v>
      </c>
      <c r="U115" s="17">
        <v>1</v>
      </c>
      <c r="V115" s="17">
        <v>1</v>
      </c>
      <c r="W115" s="17">
        <v>1</v>
      </c>
      <c r="X115" s="17"/>
      <c r="Y115" s="17"/>
      <c r="Z115" s="17"/>
      <c r="AA115" s="17"/>
      <c r="AB115" s="17"/>
      <c r="AC115" s="17"/>
      <c r="AD115">
        <f t="shared" ref="AD115:AD123" si="0">SUM(O115:AC115)</f>
        <v>8</v>
      </c>
    </row>
    <row r="116" spans="1:30" x14ac:dyDescent="0.25">
      <c r="A116">
        <v>9</v>
      </c>
      <c r="B116" s="6">
        <v>1</v>
      </c>
      <c r="C116" s="6">
        <v>1.5458369999999999</v>
      </c>
      <c r="D116" s="6" t="s">
        <v>45</v>
      </c>
      <c r="E116" s="6" t="s">
        <v>146</v>
      </c>
      <c r="F116" s="6"/>
      <c r="G116" s="6"/>
      <c r="H116" s="6"/>
      <c r="I116" s="6"/>
      <c r="J116" s="6"/>
      <c r="K116" s="6"/>
      <c r="N116" t="s">
        <v>17</v>
      </c>
      <c r="O116">
        <v>0</v>
      </c>
      <c r="P116">
        <v>0</v>
      </c>
      <c r="Q116">
        <v>0</v>
      </c>
      <c r="R116">
        <v>0</v>
      </c>
      <c r="U116">
        <v>1</v>
      </c>
      <c r="V116">
        <v>2</v>
      </c>
      <c r="W116">
        <v>2</v>
      </c>
      <c r="X116">
        <v>1</v>
      </c>
      <c r="Y116">
        <v>1</v>
      </c>
      <c r="Z116">
        <v>1</v>
      </c>
      <c r="AA116">
        <v>1</v>
      </c>
      <c r="AD116">
        <f t="shared" si="0"/>
        <v>9</v>
      </c>
    </row>
    <row r="117" spans="1:30" x14ac:dyDescent="0.25">
      <c r="A117">
        <v>8</v>
      </c>
      <c r="B117" s="6">
        <v>2</v>
      </c>
      <c r="C117" s="6">
        <v>1.3870309999999999</v>
      </c>
      <c r="D117" s="6" t="s">
        <v>147</v>
      </c>
      <c r="E117" s="6" t="s">
        <v>148</v>
      </c>
      <c r="F117" s="6"/>
      <c r="G117" s="6"/>
      <c r="H117" s="6"/>
      <c r="I117" s="6"/>
      <c r="J117" s="6"/>
      <c r="K117" s="6"/>
      <c r="N117" s="17" t="s">
        <v>18</v>
      </c>
      <c r="O117" s="17">
        <v>1</v>
      </c>
      <c r="P117" s="17">
        <v>1</v>
      </c>
      <c r="Q117" s="17">
        <v>1</v>
      </c>
      <c r="R117" s="17">
        <v>1</v>
      </c>
      <c r="S117" s="17">
        <v>0</v>
      </c>
      <c r="T117" s="17">
        <v>1</v>
      </c>
      <c r="U117" s="17">
        <v>1</v>
      </c>
      <c r="V117" s="17"/>
      <c r="W117" s="17"/>
      <c r="X117" s="17"/>
      <c r="Y117" s="17"/>
      <c r="Z117" s="17"/>
      <c r="AA117" s="17"/>
      <c r="AB117" s="17">
        <v>1</v>
      </c>
      <c r="AC117" s="17"/>
      <c r="AD117">
        <f t="shared" si="0"/>
        <v>7</v>
      </c>
    </row>
    <row r="118" spans="1:30" x14ac:dyDescent="0.25">
      <c r="A118">
        <v>7</v>
      </c>
      <c r="B118" s="6">
        <v>3</v>
      </c>
      <c r="C118" s="6">
        <v>1.221641</v>
      </c>
      <c r="D118" s="6" t="s">
        <v>149</v>
      </c>
      <c r="E118" s="6" t="s">
        <v>150</v>
      </c>
      <c r="F118" s="6"/>
      <c r="G118" s="6"/>
      <c r="H118" s="6"/>
      <c r="I118" s="6"/>
      <c r="J118" s="6"/>
      <c r="K118" s="6"/>
      <c r="N118" t="s">
        <v>19</v>
      </c>
      <c r="O118">
        <v>0</v>
      </c>
      <c r="P118">
        <v>1</v>
      </c>
      <c r="Q118">
        <v>1</v>
      </c>
      <c r="R118">
        <v>2</v>
      </c>
      <c r="S118">
        <v>1</v>
      </c>
      <c r="T118">
        <v>1</v>
      </c>
      <c r="U118">
        <v>1</v>
      </c>
      <c r="AD118">
        <f t="shared" si="0"/>
        <v>7</v>
      </c>
    </row>
    <row r="119" spans="1:30" x14ac:dyDescent="0.25">
      <c r="A119">
        <v>6</v>
      </c>
      <c r="B119" s="6">
        <v>4</v>
      </c>
      <c r="C119" s="6">
        <v>1.1941470000000001</v>
      </c>
      <c r="D119" s="6" t="s">
        <v>99</v>
      </c>
      <c r="E119" s="6" t="s">
        <v>151</v>
      </c>
      <c r="F119" s="6"/>
      <c r="G119" s="6"/>
      <c r="H119" s="6"/>
      <c r="I119" s="6"/>
      <c r="J119" s="6"/>
      <c r="K119" s="6"/>
      <c r="N119" t="s">
        <v>20</v>
      </c>
      <c r="O119">
        <v>0</v>
      </c>
      <c r="P119">
        <v>0</v>
      </c>
      <c r="Q119">
        <v>0</v>
      </c>
      <c r="R119">
        <v>0</v>
      </c>
      <c r="S119">
        <v>1</v>
      </c>
      <c r="T119">
        <v>2</v>
      </c>
      <c r="U119">
        <v>1</v>
      </c>
      <c r="W119">
        <v>1</v>
      </c>
      <c r="X119">
        <v>1</v>
      </c>
      <c r="Y119">
        <v>1</v>
      </c>
      <c r="AA119">
        <v>1</v>
      </c>
      <c r="AC119">
        <v>1</v>
      </c>
      <c r="AD119">
        <f t="shared" si="0"/>
        <v>9</v>
      </c>
    </row>
    <row r="120" spans="1:30" x14ac:dyDescent="0.25">
      <c r="A120">
        <v>5</v>
      </c>
      <c r="B120" s="6">
        <v>5</v>
      </c>
      <c r="C120" s="6">
        <v>0.87149699999999997</v>
      </c>
      <c r="D120" s="6" t="s">
        <v>50</v>
      </c>
      <c r="E120" s="6" t="s">
        <v>152</v>
      </c>
      <c r="F120" s="6"/>
      <c r="G120" s="6"/>
      <c r="H120" s="6"/>
      <c r="I120" s="6"/>
      <c r="J120" s="6"/>
      <c r="K120" s="6"/>
      <c r="N120" s="17" t="s">
        <v>21</v>
      </c>
      <c r="O120" s="17">
        <v>0</v>
      </c>
      <c r="P120" s="17">
        <v>0</v>
      </c>
      <c r="Q120" s="17">
        <v>1</v>
      </c>
      <c r="R120" s="17">
        <v>1</v>
      </c>
      <c r="S120" s="17">
        <v>1</v>
      </c>
      <c r="T120" s="17">
        <v>1</v>
      </c>
      <c r="U120" s="17">
        <v>1</v>
      </c>
      <c r="V120" s="17">
        <v>1</v>
      </c>
      <c r="W120" s="17"/>
      <c r="X120" s="17"/>
      <c r="Y120" s="17"/>
      <c r="Z120" s="17"/>
      <c r="AA120" s="17"/>
      <c r="AB120" s="17"/>
      <c r="AC120" s="17"/>
      <c r="AD120">
        <f t="shared" si="0"/>
        <v>6</v>
      </c>
    </row>
    <row r="121" spans="1:30" x14ac:dyDescent="0.25">
      <c r="A121">
        <v>4</v>
      </c>
      <c r="B121" s="6">
        <v>6</v>
      </c>
      <c r="C121" s="6">
        <v>0.48536800000000002</v>
      </c>
      <c r="D121" s="6" t="s">
        <v>153</v>
      </c>
      <c r="E121" s="6" t="s">
        <v>154</v>
      </c>
      <c r="F121" s="6"/>
      <c r="G121" s="6"/>
      <c r="H121" s="6"/>
      <c r="I121" s="6"/>
      <c r="J121" s="6"/>
      <c r="K121" s="6"/>
      <c r="N121" s="17" t="s">
        <v>22</v>
      </c>
      <c r="O121" s="17">
        <v>1</v>
      </c>
      <c r="P121" s="17">
        <v>1</v>
      </c>
      <c r="Q121" s="17">
        <v>1</v>
      </c>
      <c r="R121" s="17">
        <v>1</v>
      </c>
      <c r="S121" s="17">
        <v>1</v>
      </c>
      <c r="T121" s="17">
        <v>1</v>
      </c>
      <c r="U121" s="17">
        <v>1</v>
      </c>
      <c r="V121" s="17">
        <v>1</v>
      </c>
      <c r="W121" s="17"/>
      <c r="X121" s="17"/>
      <c r="Y121" s="17"/>
      <c r="Z121" s="17"/>
      <c r="AA121" s="17"/>
      <c r="AB121" s="17"/>
      <c r="AC121" s="17"/>
      <c r="AD121">
        <f t="shared" si="0"/>
        <v>8</v>
      </c>
    </row>
    <row r="122" spans="1:30" x14ac:dyDescent="0.25">
      <c r="A122">
        <v>3</v>
      </c>
      <c r="B122">
        <v>7</v>
      </c>
      <c r="C122">
        <v>0.35321599999999997</v>
      </c>
      <c r="D122" t="s">
        <v>155</v>
      </c>
      <c r="E122" t="s">
        <v>156</v>
      </c>
      <c r="N122" t="s">
        <v>23</v>
      </c>
      <c r="O122">
        <v>1</v>
      </c>
      <c r="P122">
        <v>1</v>
      </c>
      <c r="Q122">
        <v>1</v>
      </c>
      <c r="R122">
        <v>1</v>
      </c>
      <c r="T122">
        <v>1</v>
      </c>
      <c r="U122">
        <v>1</v>
      </c>
      <c r="AD122">
        <f t="shared" si="0"/>
        <v>6</v>
      </c>
    </row>
    <row r="123" spans="1:30" x14ac:dyDescent="0.25">
      <c r="A123">
        <v>2</v>
      </c>
      <c r="B123">
        <v>8</v>
      </c>
      <c r="C123">
        <v>0.32105499999999998</v>
      </c>
      <c r="D123" t="s">
        <v>157</v>
      </c>
      <c r="E123" t="s">
        <v>158</v>
      </c>
      <c r="N123" s="17" t="s">
        <v>24</v>
      </c>
      <c r="O123" s="17">
        <v>0</v>
      </c>
      <c r="P123" s="17">
        <v>0</v>
      </c>
      <c r="Q123" s="17">
        <v>1</v>
      </c>
      <c r="R123" s="17">
        <v>1</v>
      </c>
      <c r="S123" s="17"/>
      <c r="T123" s="17">
        <v>1</v>
      </c>
      <c r="U123" s="17">
        <v>1</v>
      </c>
      <c r="V123" s="17"/>
      <c r="W123" s="17"/>
      <c r="X123" s="17"/>
      <c r="Y123" s="17"/>
      <c r="Z123" s="17"/>
      <c r="AA123" s="17"/>
      <c r="AB123" s="17">
        <v>1</v>
      </c>
      <c r="AC123" s="17"/>
      <c r="AD123">
        <f t="shared" si="0"/>
        <v>5</v>
      </c>
    </row>
    <row r="124" spans="1:30" x14ac:dyDescent="0.25">
      <c r="A124">
        <v>1</v>
      </c>
      <c r="B124">
        <v>9</v>
      </c>
      <c r="C124">
        <v>0.249388</v>
      </c>
      <c r="D124" t="s">
        <v>159</v>
      </c>
      <c r="E124" t="s">
        <v>82</v>
      </c>
      <c r="O124">
        <f>SUM(O114:O123)</f>
        <v>5</v>
      </c>
      <c r="P124">
        <f t="shared" ref="P124:AC124" si="1">SUM(P114:P123)</f>
        <v>5</v>
      </c>
      <c r="Q124">
        <f t="shared" si="1"/>
        <v>8</v>
      </c>
      <c r="R124">
        <f t="shared" si="1"/>
        <v>9</v>
      </c>
      <c r="S124">
        <f t="shared" si="1"/>
        <v>6</v>
      </c>
      <c r="T124">
        <f t="shared" si="1"/>
        <v>10</v>
      </c>
      <c r="U124">
        <f t="shared" si="1"/>
        <v>10</v>
      </c>
      <c r="V124">
        <f t="shared" si="1"/>
        <v>5</v>
      </c>
      <c r="W124">
        <f t="shared" si="1"/>
        <v>4</v>
      </c>
      <c r="X124">
        <f t="shared" si="1"/>
        <v>2</v>
      </c>
      <c r="Y124">
        <f t="shared" si="1"/>
        <v>2</v>
      </c>
      <c r="Z124">
        <f t="shared" si="1"/>
        <v>1</v>
      </c>
      <c r="AA124">
        <f t="shared" si="1"/>
        <v>2</v>
      </c>
      <c r="AB124">
        <f t="shared" si="1"/>
        <v>2</v>
      </c>
      <c r="AC124">
        <f t="shared" si="1"/>
        <v>1</v>
      </c>
    </row>
    <row r="126" spans="1:30" x14ac:dyDescent="0.25">
      <c r="A126" t="s">
        <v>61</v>
      </c>
      <c r="B126">
        <v>0.95453699999999997</v>
      </c>
    </row>
    <row r="127" spans="1:30" x14ac:dyDescent="0.25">
      <c r="A127" t="s">
        <v>62</v>
      </c>
      <c r="B127">
        <v>0.175617</v>
      </c>
    </row>
    <row r="128" spans="1:30" x14ac:dyDescent="0.25">
      <c r="A128" t="s">
        <v>63</v>
      </c>
      <c r="B128">
        <v>0.21840399999999999</v>
      </c>
    </row>
    <row r="129" spans="7:34" x14ac:dyDescent="0.25">
      <c r="O129" s="49" t="s">
        <v>15</v>
      </c>
      <c r="P129" s="3"/>
      <c r="Q129" s="49" t="s">
        <v>16</v>
      </c>
      <c r="R129" s="3"/>
      <c r="S129" s="3" t="s">
        <v>17</v>
      </c>
      <c r="T129" s="3"/>
      <c r="U129" s="49" t="s">
        <v>18</v>
      </c>
      <c r="V129" s="3"/>
      <c r="W129" s="49" t="s">
        <v>19</v>
      </c>
      <c r="X129" s="3"/>
      <c r="Y129" s="49" t="s">
        <v>20</v>
      </c>
      <c r="Z129" s="3"/>
      <c r="AA129" s="49" t="s">
        <v>21</v>
      </c>
      <c r="AB129" s="3"/>
      <c r="AC129" s="49" t="s">
        <v>22</v>
      </c>
      <c r="AD129" s="3"/>
      <c r="AE129" s="49" t="s">
        <v>23</v>
      </c>
      <c r="AF129" s="3"/>
      <c r="AG129" s="49" t="s">
        <v>256</v>
      </c>
      <c r="AH129" s="3"/>
    </row>
    <row r="130" spans="7:34" x14ac:dyDescent="0.25">
      <c r="O130" s="49">
        <v>450</v>
      </c>
      <c r="P130" s="3"/>
      <c r="Q130" s="49">
        <v>500</v>
      </c>
      <c r="R130" s="3"/>
      <c r="S130" s="3">
        <v>2500</v>
      </c>
      <c r="T130" s="3"/>
      <c r="U130" s="49">
        <v>800</v>
      </c>
      <c r="V130" s="3"/>
      <c r="W130" s="49">
        <v>15</v>
      </c>
      <c r="X130" s="3"/>
      <c r="Y130" s="49">
        <v>2000</v>
      </c>
      <c r="Z130" s="3"/>
      <c r="AA130" s="49">
        <v>480</v>
      </c>
      <c r="AB130" s="3"/>
      <c r="AC130" s="49">
        <v>500</v>
      </c>
      <c r="AD130" s="3"/>
      <c r="AE130" s="49">
        <v>1200</v>
      </c>
      <c r="AF130" s="3"/>
      <c r="AG130" s="49">
        <v>1250</v>
      </c>
      <c r="AH130" s="3"/>
    </row>
    <row r="131" spans="7:34" x14ac:dyDescent="0.25">
      <c r="G131">
        <v>1</v>
      </c>
      <c r="H131">
        <v>8</v>
      </c>
      <c r="I131">
        <v>2</v>
      </c>
      <c r="O131" s="49">
        <v>1200</v>
      </c>
      <c r="P131" s="49" t="s">
        <v>15</v>
      </c>
      <c r="Q131" s="49">
        <v>800</v>
      </c>
      <c r="R131" s="49" t="s">
        <v>16</v>
      </c>
      <c r="S131" s="3">
        <v>3000</v>
      </c>
      <c r="T131" s="49" t="s">
        <v>17</v>
      </c>
      <c r="U131" s="49">
        <v>900</v>
      </c>
      <c r="V131" s="49" t="s">
        <v>18</v>
      </c>
      <c r="W131" s="49">
        <v>350</v>
      </c>
      <c r="X131" s="49" t="s">
        <v>19</v>
      </c>
      <c r="Y131" s="49">
        <v>5000</v>
      </c>
      <c r="Z131" s="49" t="s">
        <v>20</v>
      </c>
      <c r="AA131" s="49">
        <v>2500</v>
      </c>
      <c r="AB131" s="49" t="s">
        <v>21</v>
      </c>
      <c r="AC131" s="49">
        <v>1000</v>
      </c>
      <c r="AD131" s="49" t="s">
        <v>22</v>
      </c>
      <c r="AE131" s="49">
        <v>5000</v>
      </c>
      <c r="AF131" s="49" t="s">
        <v>23</v>
      </c>
      <c r="AG131" s="49">
        <v>1500</v>
      </c>
      <c r="AH131" s="49" t="s">
        <v>256</v>
      </c>
    </row>
    <row r="132" spans="7:34" x14ac:dyDescent="0.25">
      <c r="G132">
        <v>8</v>
      </c>
      <c r="O132" s="49">
        <v>2</v>
      </c>
      <c r="P132" s="53" t="s">
        <v>0</v>
      </c>
      <c r="Q132" s="49">
        <v>6</v>
      </c>
      <c r="R132" s="53" t="s">
        <v>0</v>
      </c>
      <c r="S132" s="3">
        <v>6</v>
      </c>
      <c r="T132" s="39" t="s">
        <v>6</v>
      </c>
      <c r="U132" s="49">
        <v>6</v>
      </c>
      <c r="V132" s="53" t="s">
        <v>0</v>
      </c>
      <c r="W132" s="49">
        <v>6</v>
      </c>
      <c r="X132" s="53" t="s">
        <v>4</v>
      </c>
      <c r="Y132" s="49">
        <v>2</v>
      </c>
      <c r="Z132" s="53" t="s">
        <v>143</v>
      </c>
      <c r="AA132" s="49">
        <v>7</v>
      </c>
      <c r="AB132" s="53" t="s">
        <v>2</v>
      </c>
      <c r="AC132" s="49">
        <v>3</v>
      </c>
      <c r="AD132" s="53" t="s">
        <v>0</v>
      </c>
      <c r="AE132" s="49">
        <v>6</v>
      </c>
      <c r="AF132" s="53" t="s">
        <v>3</v>
      </c>
      <c r="AG132" s="49">
        <v>5</v>
      </c>
      <c r="AH132" s="53" t="s">
        <v>2</v>
      </c>
    </row>
    <row r="133" spans="7:34" x14ac:dyDescent="0.25">
      <c r="G133">
        <v>2</v>
      </c>
      <c r="O133" s="49">
        <v>4</v>
      </c>
      <c r="P133" s="53" t="s">
        <v>1</v>
      </c>
      <c r="Q133" s="49">
        <v>7</v>
      </c>
      <c r="R133" s="53" t="s">
        <v>2</v>
      </c>
      <c r="S133" s="3">
        <v>10</v>
      </c>
      <c r="T133" s="39" t="s">
        <v>140</v>
      </c>
      <c r="U133" s="49">
        <v>4</v>
      </c>
      <c r="V133" s="53" t="s">
        <v>1</v>
      </c>
      <c r="W133" s="49">
        <v>4</v>
      </c>
      <c r="X133" s="53" t="s">
        <v>13</v>
      </c>
      <c r="Y133" s="49">
        <v>5</v>
      </c>
      <c r="Z133" s="53" t="s">
        <v>13</v>
      </c>
      <c r="AA133" s="49">
        <v>6</v>
      </c>
      <c r="AB133" s="53" t="s">
        <v>3</v>
      </c>
      <c r="AC133" s="49">
        <v>1</v>
      </c>
      <c r="AD133" s="53" t="s">
        <v>1</v>
      </c>
      <c r="AE133" s="49">
        <v>4</v>
      </c>
      <c r="AF133" s="53" t="s">
        <v>2</v>
      </c>
      <c r="AG133" s="49">
        <v>2</v>
      </c>
      <c r="AH133" s="53" t="s">
        <v>3</v>
      </c>
    </row>
    <row r="134" spans="7:34" x14ac:dyDescent="0.25">
      <c r="G134">
        <v>7</v>
      </c>
      <c r="O134" s="49">
        <v>5</v>
      </c>
      <c r="P134" s="53" t="s">
        <v>2</v>
      </c>
      <c r="Q134" s="49">
        <v>5</v>
      </c>
      <c r="R134" s="53" t="s">
        <v>3</v>
      </c>
      <c r="S134" s="3">
        <v>8</v>
      </c>
      <c r="T134" s="39" t="s">
        <v>13</v>
      </c>
      <c r="U134" s="49">
        <v>2</v>
      </c>
      <c r="V134" s="53" t="s">
        <v>2</v>
      </c>
      <c r="W134" s="49">
        <v>2</v>
      </c>
      <c r="X134" s="53" t="s">
        <v>3</v>
      </c>
      <c r="Y134" s="49">
        <v>3</v>
      </c>
      <c r="Z134" s="53" t="s">
        <v>140</v>
      </c>
      <c r="AA134" s="49">
        <v>9</v>
      </c>
      <c r="AB134" s="53" t="s">
        <v>5</v>
      </c>
      <c r="AC134" s="49">
        <v>2</v>
      </c>
      <c r="AD134" s="53" t="s">
        <v>2</v>
      </c>
      <c r="AE134" s="49">
        <v>8</v>
      </c>
      <c r="AF134" s="53" t="s">
        <v>1</v>
      </c>
      <c r="AG134" s="49">
        <v>4</v>
      </c>
      <c r="AH134" s="53" t="s">
        <v>13</v>
      </c>
    </row>
    <row r="135" spans="7:34" x14ac:dyDescent="0.25">
      <c r="G135">
        <v>4</v>
      </c>
      <c r="O135" s="49">
        <v>6</v>
      </c>
      <c r="P135" s="53" t="s">
        <v>3</v>
      </c>
      <c r="Q135" s="49">
        <v>5</v>
      </c>
      <c r="R135" s="53" t="s">
        <v>5</v>
      </c>
      <c r="S135" s="3">
        <v>7</v>
      </c>
      <c r="T135" s="39" t="s">
        <v>14</v>
      </c>
      <c r="U135" s="49">
        <v>7</v>
      </c>
      <c r="V135" s="53" t="s">
        <v>3</v>
      </c>
      <c r="W135" s="49">
        <v>3</v>
      </c>
      <c r="X135" s="53" t="s">
        <v>1</v>
      </c>
      <c r="Y135" s="49">
        <v>4</v>
      </c>
      <c r="Z135" s="53" t="s">
        <v>4</v>
      </c>
      <c r="AA135" s="49">
        <v>10</v>
      </c>
      <c r="AB135" s="53" t="s">
        <v>4</v>
      </c>
      <c r="AC135" s="49">
        <v>2</v>
      </c>
      <c r="AD135" s="53" t="s">
        <v>3</v>
      </c>
      <c r="AE135" s="49">
        <v>4</v>
      </c>
      <c r="AF135" s="53" t="s">
        <v>4</v>
      </c>
      <c r="AG135" s="49">
        <v>6</v>
      </c>
      <c r="AH135" s="53" t="s">
        <v>144</v>
      </c>
    </row>
    <row r="136" spans="7:34" x14ac:dyDescent="0.25">
      <c r="G136">
        <v>10</v>
      </c>
      <c r="O136" s="49">
        <v>4</v>
      </c>
      <c r="P136" s="53" t="s">
        <v>5</v>
      </c>
      <c r="Q136" s="49">
        <v>5</v>
      </c>
      <c r="R136" s="53" t="s">
        <v>4</v>
      </c>
      <c r="S136" s="3">
        <v>5</v>
      </c>
      <c r="T136" s="39" t="s">
        <v>141</v>
      </c>
      <c r="U136" s="49">
        <v>5</v>
      </c>
      <c r="V136" s="53" t="s">
        <v>4</v>
      </c>
      <c r="W136" s="49">
        <v>5</v>
      </c>
      <c r="X136" s="53" t="s">
        <v>2</v>
      </c>
      <c r="Y136" s="49">
        <v>5</v>
      </c>
      <c r="Z136" s="53" t="s">
        <v>141</v>
      </c>
      <c r="AA136" s="49">
        <v>2</v>
      </c>
      <c r="AB136" s="53" t="s">
        <v>13</v>
      </c>
      <c r="AC136" s="49">
        <v>3</v>
      </c>
      <c r="AD136" s="53" t="s">
        <v>5</v>
      </c>
      <c r="AE136" s="49">
        <v>5</v>
      </c>
      <c r="AF136" s="53" t="s">
        <v>13</v>
      </c>
      <c r="AG136" s="49">
        <v>7</v>
      </c>
      <c r="AH136" s="53" t="s">
        <v>4</v>
      </c>
    </row>
    <row r="137" spans="7:34" x14ac:dyDescent="0.25">
      <c r="G137">
        <v>5</v>
      </c>
      <c r="O137" s="49">
        <v>2</v>
      </c>
      <c r="P137" s="53" t="s">
        <v>4</v>
      </c>
      <c r="Q137" s="49">
        <v>4</v>
      </c>
      <c r="R137" s="53" t="s">
        <v>13</v>
      </c>
      <c r="S137" s="3">
        <v>4</v>
      </c>
      <c r="T137" s="39" t="s">
        <v>140</v>
      </c>
      <c r="U137" s="49">
        <v>4</v>
      </c>
      <c r="V137" s="53" t="s">
        <v>13</v>
      </c>
      <c r="W137" s="49">
        <v>1</v>
      </c>
      <c r="X137" s="53" t="s">
        <v>3</v>
      </c>
      <c r="Y137" s="49">
        <v>4</v>
      </c>
      <c r="Z137" s="53" t="s">
        <v>145</v>
      </c>
      <c r="AA137" s="49">
        <v>5</v>
      </c>
      <c r="AB137" s="53" t="s">
        <v>14</v>
      </c>
      <c r="AC137" s="49">
        <v>4</v>
      </c>
      <c r="AD137" s="53" t="s">
        <v>4</v>
      </c>
      <c r="AE137" s="49">
        <v>4</v>
      </c>
      <c r="AF137" s="53" t="s">
        <v>0</v>
      </c>
      <c r="AG137" s="2"/>
      <c r="AH137" s="2"/>
    </row>
    <row r="138" spans="7:34" x14ac:dyDescent="0.25">
      <c r="G138">
        <v>9</v>
      </c>
      <c r="O138" s="49">
        <v>3</v>
      </c>
      <c r="P138" s="53" t="s">
        <v>13</v>
      </c>
      <c r="Q138" s="49">
        <v>3</v>
      </c>
      <c r="R138" s="53" t="s">
        <v>14</v>
      </c>
      <c r="S138" s="3">
        <v>2</v>
      </c>
      <c r="T138" s="39" t="s">
        <v>14</v>
      </c>
      <c r="U138" s="49">
        <v>3</v>
      </c>
      <c r="V138" s="53" t="s">
        <v>144</v>
      </c>
      <c r="W138" s="49">
        <v>2</v>
      </c>
      <c r="X138" s="53" t="s">
        <v>5</v>
      </c>
      <c r="Y138" s="49">
        <v>3</v>
      </c>
      <c r="Z138" s="53" t="s">
        <v>6</v>
      </c>
      <c r="AA138" s="2"/>
      <c r="AB138" s="2"/>
      <c r="AC138" s="49">
        <v>7</v>
      </c>
      <c r="AD138" s="53" t="s">
        <v>13</v>
      </c>
      <c r="AE138" s="2"/>
      <c r="AF138" s="2"/>
      <c r="AG138" s="2"/>
      <c r="AH138" s="2"/>
    </row>
    <row r="139" spans="7:34" x14ac:dyDescent="0.25">
      <c r="G139">
        <v>3</v>
      </c>
      <c r="O139" s="2"/>
      <c r="P139" s="2"/>
      <c r="Q139" s="49">
        <v>2</v>
      </c>
      <c r="R139" s="53" t="s">
        <v>140</v>
      </c>
      <c r="S139" s="3">
        <v>5</v>
      </c>
      <c r="T139" s="39" t="s">
        <v>142</v>
      </c>
      <c r="U139" s="2"/>
      <c r="V139" s="2"/>
      <c r="W139" s="2"/>
      <c r="X139" s="2"/>
      <c r="Y139" s="49">
        <v>4</v>
      </c>
      <c r="Z139" s="53" t="s">
        <v>5</v>
      </c>
      <c r="AA139" s="2"/>
      <c r="AB139" s="2"/>
      <c r="AC139" s="49">
        <v>8</v>
      </c>
      <c r="AD139" s="53" t="s">
        <v>14</v>
      </c>
      <c r="AE139" s="2"/>
      <c r="AF139" s="2"/>
      <c r="AG139" s="2"/>
      <c r="AH139" s="2"/>
    </row>
    <row r="140" spans="7:34" x14ac:dyDescent="0.25">
      <c r="G140">
        <v>6</v>
      </c>
      <c r="O140" s="2"/>
      <c r="P140" s="2"/>
      <c r="Q140" s="2"/>
      <c r="R140" s="2"/>
      <c r="S140" s="3">
        <v>4</v>
      </c>
      <c r="T140" s="39" t="s">
        <v>143</v>
      </c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</row>
    <row r="141" spans="7:34" x14ac:dyDescent="0.25"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</row>
    <row r="142" spans="7:34" x14ac:dyDescent="0.25"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</row>
    <row r="143" spans="7:34" x14ac:dyDescent="0.25"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</row>
    <row r="144" spans="7:34" x14ac:dyDescent="0.25"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</row>
    <row r="145" spans="15:34" x14ac:dyDescent="0.25"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</row>
    <row r="146" spans="15:34" x14ac:dyDescent="0.25"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</row>
    <row r="147" spans="15:34" x14ac:dyDescent="0.25"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</row>
    <row r="148" spans="15:34" x14ac:dyDescent="0.25"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</row>
    <row r="149" spans="15:34" x14ac:dyDescent="0.25"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</row>
    <row r="150" spans="15:34" x14ac:dyDescent="0.25"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</row>
    <row r="151" spans="15:34" x14ac:dyDescent="0.25"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</row>
    <row r="155" spans="15:34" x14ac:dyDescent="0.25">
      <c r="O155" s="36">
        <v>1</v>
      </c>
      <c r="P155" s="36">
        <f>R155-Q155</f>
        <v>930</v>
      </c>
      <c r="Q155" s="36">
        <v>270</v>
      </c>
      <c r="R155" s="36">
        <v>1200</v>
      </c>
      <c r="S155" s="36">
        <v>4</v>
      </c>
      <c r="T155" s="36">
        <v>7</v>
      </c>
      <c r="U155" s="36">
        <v>9</v>
      </c>
      <c r="V155" s="36">
        <v>10</v>
      </c>
      <c r="W155" s="36">
        <v>7</v>
      </c>
      <c r="X155" s="36">
        <v>4</v>
      </c>
      <c r="Y155" s="36">
        <v>5</v>
      </c>
      <c r="Z155" s="36"/>
      <c r="AA155" s="36"/>
    </row>
    <row r="156" spans="15:34" x14ac:dyDescent="0.25">
      <c r="O156" s="36">
        <v>2</v>
      </c>
      <c r="P156" s="36">
        <f t="shared" ref="P156:P164" si="2">R156-Q156</f>
        <v>383</v>
      </c>
      <c r="Q156" s="36">
        <v>417</v>
      </c>
      <c r="R156" s="36">
        <v>800</v>
      </c>
      <c r="S156" s="36">
        <v>8</v>
      </c>
      <c r="T156" s="36">
        <v>9</v>
      </c>
      <c r="U156" s="36">
        <v>6</v>
      </c>
      <c r="V156" s="36">
        <v>6</v>
      </c>
      <c r="W156" s="36">
        <v>6</v>
      </c>
      <c r="X156" s="36">
        <v>5</v>
      </c>
      <c r="Y156" s="36">
        <v>4</v>
      </c>
      <c r="Z156" s="36">
        <v>3</v>
      </c>
      <c r="AA156" s="36"/>
    </row>
    <row r="157" spans="15:34" x14ac:dyDescent="0.25">
      <c r="O157" s="36">
        <v>3</v>
      </c>
      <c r="P157" s="36">
        <f t="shared" si="2"/>
        <v>-1</v>
      </c>
      <c r="Q157" s="36">
        <v>3001</v>
      </c>
      <c r="R157" s="36">
        <v>3000</v>
      </c>
      <c r="S157" s="36">
        <v>5</v>
      </c>
      <c r="T157" s="36">
        <v>9</v>
      </c>
      <c r="U157" s="36">
        <v>7</v>
      </c>
      <c r="V157" s="36">
        <v>6</v>
      </c>
      <c r="W157" s="36">
        <v>5</v>
      </c>
      <c r="X157" s="36">
        <v>4</v>
      </c>
      <c r="Y157" s="36">
        <v>2</v>
      </c>
      <c r="Z157" s="36">
        <v>5</v>
      </c>
      <c r="AA157" s="36">
        <v>4</v>
      </c>
    </row>
    <row r="158" spans="15:34" x14ac:dyDescent="0.25">
      <c r="O158" s="36">
        <v>4</v>
      </c>
      <c r="P158" s="36">
        <f t="shared" si="2"/>
        <v>366</v>
      </c>
      <c r="Q158" s="36">
        <v>534</v>
      </c>
      <c r="R158" s="36">
        <v>900</v>
      </c>
      <c r="S158" s="36">
        <v>9</v>
      </c>
      <c r="T158" s="36">
        <v>6</v>
      </c>
      <c r="U158" s="36">
        <v>3</v>
      </c>
      <c r="V158" s="36">
        <v>11</v>
      </c>
      <c r="W158" s="36">
        <v>8</v>
      </c>
      <c r="X158" s="36">
        <v>6</v>
      </c>
      <c r="Y158" s="36">
        <v>5</v>
      </c>
      <c r="Z158" s="36"/>
      <c r="AA158" s="36"/>
    </row>
    <row r="159" spans="15:34" x14ac:dyDescent="0.25">
      <c r="O159" s="36">
        <v>5</v>
      </c>
      <c r="P159" s="36">
        <f t="shared" si="2"/>
        <v>337</v>
      </c>
      <c r="Q159" s="36">
        <v>8</v>
      </c>
      <c r="R159" s="36">
        <v>345</v>
      </c>
      <c r="S159" s="36">
        <v>12</v>
      </c>
      <c r="T159" s="36">
        <v>8</v>
      </c>
      <c r="U159" s="36">
        <v>4</v>
      </c>
      <c r="V159" s="36">
        <v>6</v>
      </c>
      <c r="W159" s="36">
        <v>10</v>
      </c>
      <c r="X159" s="36">
        <v>2</v>
      </c>
      <c r="Y159" s="36">
        <v>4</v>
      </c>
      <c r="Z159" s="36"/>
      <c r="AA159" s="36"/>
    </row>
    <row r="160" spans="15:34" x14ac:dyDescent="0.25">
      <c r="O160" s="36">
        <v>6</v>
      </c>
      <c r="P160" s="36">
        <f t="shared" si="2"/>
        <v>3666</v>
      </c>
      <c r="Q160" s="36">
        <v>1334</v>
      </c>
      <c r="R160" s="36">
        <v>5000</v>
      </c>
      <c r="S160" s="36">
        <v>3</v>
      </c>
      <c r="T160" s="36">
        <v>8</v>
      </c>
      <c r="U160" s="36">
        <v>5</v>
      </c>
      <c r="V160" s="36">
        <v>6</v>
      </c>
      <c r="W160" s="36">
        <v>8</v>
      </c>
      <c r="X160" s="36">
        <v>6</v>
      </c>
      <c r="Y160" s="36">
        <v>5</v>
      </c>
      <c r="Z160" s="36">
        <v>6</v>
      </c>
      <c r="AA160" s="36"/>
    </row>
    <row r="161" spans="15:27" x14ac:dyDescent="0.25">
      <c r="O161" s="36">
        <v>7</v>
      </c>
      <c r="P161" s="36">
        <f t="shared" si="2"/>
        <v>2080</v>
      </c>
      <c r="Q161" s="36">
        <v>420</v>
      </c>
      <c r="R161" s="36">
        <v>2500</v>
      </c>
      <c r="S161" s="36">
        <v>8</v>
      </c>
      <c r="T161" s="36">
        <v>7</v>
      </c>
      <c r="U161" s="36">
        <v>11</v>
      </c>
      <c r="V161" s="36">
        <v>12</v>
      </c>
      <c r="W161" s="36">
        <v>3</v>
      </c>
      <c r="X161" s="36">
        <v>6</v>
      </c>
      <c r="Y161" s="36"/>
      <c r="Z161" s="36"/>
      <c r="AA161" s="36"/>
    </row>
    <row r="162" spans="15:27" x14ac:dyDescent="0.25">
      <c r="O162" s="36">
        <v>8</v>
      </c>
      <c r="P162" s="36">
        <f t="shared" si="2"/>
        <v>666</v>
      </c>
      <c r="Q162" s="36">
        <v>334</v>
      </c>
      <c r="R162" s="36">
        <v>1000</v>
      </c>
      <c r="S162" s="36">
        <v>5</v>
      </c>
      <c r="T162" s="36">
        <v>2</v>
      </c>
      <c r="U162" s="36">
        <v>3</v>
      </c>
      <c r="V162" s="36">
        <v>3</v>
      </c>
      <c r="W162" s="36">
        <v>5</v>
      </c>
      <c r="X162" s="36">
        <v>6</v>
      </c>
      <c r="Y162" s="36">
        <v>11</v>
      </c>
      <c r="Z162" s="36">
        <v>12</v>
      </c>
      <c r="AA162" s="36"/>
    </row>
    <row r="163" spans="15:27" x14ac:dyDescent="0.25">
      <c r="O163" s="36">
        <v>9</v>
      </c>
      <c r="P163" s="36">
        <f t="shared" si="2"/>
        <v>4200</v>
      </c>
      <c r="Q163" s="36">
        <v>800</v>
      </c>
      <c r="R163" s="36">
        <v>5000</v>
      </c>
      <c r="S163" s="36">
        <v>9</v>
      </c>
      <c r="T163" s="36">
        <v>6</v>
      </c>
      <c r="U163" s="36">
        <v>12</v>
      </c>
      <c r="V163" s="36">
        <v>6</v>
      </c>
      <c r="W163" s="36">
        <v>8</v>
      </c>
      <c r="X163" s="36">
        <v>6</v>
      </c>
      <c r="Y163" s="36"/>
      <c r="Z163" s="36"/>
      <c r="AA163" s="36"/>
    </row>
    <row r="164" spans="15:27" x14ac:dyDescent="0.25">
      <c r="O164" s="36">
        <v>10</v>
      </c>
      <c r="P164" s="36">
        <f t="shared" si="2"/>
        <v>826</v>
      </c>
      <c r="Q164" s="36">
        <v>674</v>
      </c>
      <c r="R164" s="36">
        <v>1500</v>
      </c>
      <c r="S164" s="36">
        <v>10</v>
      </c>
      <c r="T164" s="36">
        <v>4</v>
      </c>
      <c r="U164" s="36">
        <v>8</v>
      </c>
      <c r="V164" s="36">
        <v>12</v>
      </c>
      <c r="W164" s="36">
        <v>13</v>
      </c>
      <c r="X164" s="36"/>
      <c r="Y164" s="36"/>
      <c r="Z164" s="36"/>
      <c r="AA164" s="36"/>
    </row>
  </sheetData>
  <conditionalFormatting sqref="B2:K1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4:K4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7:K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00:K1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27</vt:i4>
      </vt:variant>
    </vt:vector>
  </HeadingPairs>
  <TitlesOfParts>
    <vt:vector size="27" baseType="lpstr">
      <vt:lpstr>_CONSOLE_</vt:lpstr>
      <vt:lpstr>DASHBOARD</vt:lpstr>
      <vt:lpstr>CUSTOMER</vt:lpstr>
      <vt:lpstr>EXP04</vt:lpstr>
      <vt:lpstr>INPUT</vt:lpstr>
      <vt:lpstr>CR</vt:lpstr>
      <vt:lpstr>SPT</vt:lpstr>
      <vt:lpstr>IPP</vt:lpstr>
      <vt:lpstr>CLUSTERMATRIX</vt:lpstr>
      <vt:lpstr>LCS</vt:lpstr>
      <vt:lpstr>ALFA</vt:lpstr>
      <vt:lpstr>MATRIX</vt:lpstr>
      <vt:lpstr>SIMINPUT</vt:lpstr>
      <vt:lpstr>BINAR</vt:lpstr>
      <vt:lpstr>SIMOUTPUT</vt:lpstr>
      <vt:lpstr>ALFAMATRIX</vt:lpstr>
      <vt:lpstr>REDUCEALFA</vt:lpstr>
      <vt:lpstr>SOURCES</vt:lpstr>
      <vt:lpstr>ALFASOURCE</vt:lpstr>
      <vt:lpstr>BACKUP</vt:lpstr>
      <vt:lpstr>BACKUPALFA</vt:lpstr>
      <vt:lpstr>MASCHINE</vt:lpstr>
      <vt:lpstr>COMP</vt:lpstr>
      <vt:lpstr>TEST</vt:lpstr>
      <vt:lpstr>CHART</vt:lpstr>
      <vt:lpstr>ZHLUK</vt:lpstr>
      <vt:lpstr>INPUTYPE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2019-03-04T11:24:38Z</dcterms:modified>
</cp:coreProperties>
</file>